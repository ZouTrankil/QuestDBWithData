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1e1f21746549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总览" sheetId="1" r:id="R8ff4f4128552419e"/>
    <x:sheet xmlns:r="http://schemas.openxmlformats.org/officeDocument/2006/relationships" name="逐表明细" sheetId="2" r:id="Rffccbd516d0749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20344A"/>
      <x:name val="Arial"/>
    </x:font>
    <x:font>
      <x:b/>
      <x:sz val="15"/>
      <x:color rgb="FF20344A"/>
      <x:name val="Arial"/>
    </x:font>
    <x:font>
      <x:sz val="10"/>
      <x:color rgb="FF536476"/>
      <x:name val="Arial"/>
    </x:font>
    <x:font>
      <x:b/>
      <x:sz val="10"/>
      <x:color rgb="FFFFFFFF"/>
      <x:name val="Arial"/>
    </x:font>
    <x:font>
      <x:b/>
      <x:sz val="10"/>
      <x:color rgb="FF2034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44A"/>
      </x:patternFill>
    </x:fill>
    <x:fill>
      <x:patternFill patternType="solid">
        <x:fgColor rgb="FFEDF1F5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C7D1DB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3">
    <x:dxf>
      <x:font>
        <x:color rgb="FF264A75"/>
      </x:font>
      <x:fill>
        <x:patternFill patternType="solid">
          <x:bgColor rgb="FFE8F0FA"/>
        </x:patternFill>
      </x:fill>
    </x:dxf>
    <x:dxf>
      <x:font>
        <x:color rgb="FF266240"/>
      </x:font>
      <x:fill>
        <x:patternFill patternType="solid">
          <x:bgColor rgb="FFE3F1E8"/>
        </x:patternFill>
      </x:fill>
    </x:dxf>
    <x:dxf>
      <x:font>
        <x:color rgb="FF8A5726"/>
      </x:font>
      <x:fill>
        <x:patternFill patternType="solid">
          <x:bgColor rgb="FFFFF0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9976b9b97041ff" /><Relationship Type="http://schemas.openxmlformats.org/officeDocument/2006/relationships/theme" Target="/xl/theme/theme1.xml" Id="R3c08eeebb5c742d8" /><Relationship Type="http://schemas.openxmlformats.org/officeDocument/2006/relationships/sharedStrings" Target="/xl/sharedStrings.xml" Id="Rf6c3b3afaa2846fc" /><Relationship Type="http://schemas.openxmlformats.org/officeDocument/2006/relationships/worksheet" Target="/xl/worksheets/sheet1.xml" Id="R8ff4f4128552419e" /><Relationship Type="http://schemas.openxmlformats.org/officeDocument/2006/relationships/worksheet" Target="/xl/worksheets/sheet2.xml" Id="Rffccbd516d074948" /></Relationships>
</file>

<file path=xl/tables/table1.xml><?xml version="1.0" encoding="utf-8"?>
<x:table xmlns:x="http://schemas.openxmlformats.org/spreadsheetml/2006/main" id="1" name="QuestDBInventory" displayName="QuestDBInventory" ref="A6:L143" headerRowCount="1" totalsRowCount="0" totalsRowShown="0">
  <x:autoFilter ref="A6:L143"/>
  <x:tableColumns count="12">
    <x:tableColumn id="1" name="市场分组"/>
    <x:tableColumn id="2" name="业务分组"/>
    <x:tableColumn id="3" name="来源分类"/>
    <x:tableColumn id="4" name="对象名"/>
    <x:tableColumn id="5" name="数据库类型"/>
    <x:tableColumn id="6" name="内容/用途"/>
    <x:tableColumn id="7" name="来源或上游"/>
    <x:tableColumn id="8" name="维护方式"/>
    <x:tableColumn id="9" name="当前行数"/>
    <x:tableColumn id="10" name="对象状态"/>
    <x:tableColumn id="11" name="备注"/>
    <x:tableColumn id="12" name="判断依据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9ae9f749fe4b31" /></Relationships>
</file>

<file path=xl/worksheets/sheet1.xml><?xml version="1.0" encoding="utf-8"?>
<x:worksheet xmlns:x="http://schemas.openxmlformats.org/spreadsheetml/2006/main">
  <x:sheetPr>
    <x:tabColor rgb="FF20344A"/>
  </x:sheetPr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76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0" customHeight="1">
      <x:c r="A2" s="3" t="str">
        <x:v>QuestDB 数据分类</x:v>
      </x:c>
      <x:c r="B2" s="2"/>
      <x:c r="C2" s="2"/>
      <x:c r="D2" s="2"/>
      <x:c r="E2" s="2"/>
      <x:c r="F2" s="2"/>
    </x:row>
    <x:row r="3" ht="23" customHeight="1">
      <x:c r="A3" s="4" t="str">
        <x:v>实库快照 2026-10-17 08:05:48（北京时间），137 个对象</x:v>
      </x:c>
      <x:c r="B3" s="2"/>
      <x:c r="C3" s="2"/>
      <x:c r="D3" s="2"/>
      <x:c r="E3" s="2"/>
      <x:c r="F3" s="2"/>
    </x:row>
    <x:row r="4" ht="23" customHeight="1">
      <x:c r="A4" s="5"/>
      <x:c r="B4" s="5"/>
      <x:c r="C4" s="5"/>
      <x:c r="D4" s="5"/>
      <x:c r="E4" s="5"/>
      <x:c r="F4" s="5"/>
    </x:row>
    <x:row r="5" ht="23" customHeight="1">
      <x:c r="A5" s="2"/>
      <x:c r="B5" s="2"/>
      <x:c r="C5" s="2"/>
      <x:c r="D5" s="2"/>
      <x:c r="E5" s="2"/>
      <x:c r="F5" s="2"/>
    </x:row>
    <x:row r="6" ht="28" customHeight="1">
      <x:c r="A6" s="11" t="str">
        <x:v>市场分组</x:v>
      </x:c>
      <x:c r="B6" s="12" t="str">
        <x:v>采集表</x:v>
      </x:c>
      <x:c r="C6" s="12" t="str">
        <x:v>衍生视图</x:v>
      </x:c>
      <x:c r="D6" s="12" t="str">
        <x:v>运行生成表</x:v>
      </x:c>
      <x:c r="E6" s="12" t="str">
        <x:v>合计</x:v>
      </x:c>
      <x:c r="F6" s="13" t="str">
        <x:v>范围说明</x:v>
      </x:c>
    </x:row>
    <x:row r="7" ht="36" customHeight="1">
      <x:c r="A7" s="2" t="str">
        <x:v>美股</x:v>
      </x:c>
      <x:c r="B7" s="19" t="n">
        <x:f>COUNTIFS('逐表明细'!$A$7:$A$143,$A7,'逐表明细'!$C$7:$C$143,"采集")</x:f>
        <x:v>6</x:v>
      </x:c>
      <x:c r="C7" s="19" t="n">
        <x:f>COUNTIFS('逐表明细'!$A$7:$A$143,$A7,'逐表明细'!$C$7:$C$143,"衍生视图")</x:f>
        <x:v>0</x:v>
      </x:c>
      <x:c r="D7" s="19" t="n">
        <x:f>COUNTIFS('逐表明细'!$A$7:$A$143,$A7,'逐表明细'!$C$7:$C$143,"运行生成")</x:f>
        <x:v>0</x:v>
      </x:c>
      <x:c r="E7" s="19" t="n">
        <x:f>SUM(B7:D7)</x:f>
        <x:v>6</x:v>
      </x:c>
      <x:c r="F7" s="14" t="str">
        <x:v>美国股市/波动率指数和美债利率，本实例未见美股个股行情表。</x:v>
      </x:c>
    </x:row>
    <x:row r="8" ht="36" customHeight="1">
      <x:c r="A8" s="2" t="str">
        <x:v>BTC</x:v>
      </x:c>
      <x:c r="B8" s="19" t="n">
        <x:f>COUNTIFS('逐表明细'!$A$7:$A$143,$A8,'逐表明细'!$C$7:$C$143,"采集")</x:f>
        <x:v>0</x:v>
      </x:c>
      <x:c r="C8" s="19" t="n">
        <x:f>COUNTIFS('逐表明细'!$A$7:$A$143,$A8,'逐表明细'!$C$7:$C$143,"衍生视图")</x:f>
        <x:v>0</x:v>
      </x:c>
      <x:c r="D8" s="19" t="n">
        <x:f>COUNTIFS('逐表明细'!$A$7:$A$143,$A8,'逐表明细'!$C$7:$C$143,"运行生成")</x:f>
        <x:v>0</x:v>
      </x:c>
      <x:c r="E8" s="19" t="n">
        <x:f>SUM(B8:D8)</x:f>
        <x:v>0</x:v>
      </x:c>
      <x:c r="F8" s="14" t="str">
        <x:v>本实例未发现BTC专用表，未扩展盘点其他实例或本地数据。</x:v>
      </x:c>
    </x:row>
    <x:row r="9" ht="36" customHeight="1">
      <x:c r="A9" s="2" t="str">
        <x:v>A股及国内配套</x:v>
      </x:c>
      <x:c r="B9" s="19" t="n">
        <x:f>COUNTIFS('逐表明细'!$A$7:$A$143,$A9,'逐表明细'!$C$7:$C$143,"采集")</x:f>
        <x:v>75</x:v>
      </x:c>
      <x:c r="C9" s="19" t="n">
        <x:f>COUNTIFS('逐表明细'!$A$7:$A$143,$A9,'逐表明细'!$C$7:$C$143,"衍生视图")</x:f>
        <x:v>4</x:v>
      </x:c>
      <x:c r="D9" s="19" t="n">
        <x:f>COUNTIFS('逐表明细'!$A$7:$A$143,$A9,'逐表明细'!$C$7:$C$143,"运行生成")</x:f>
        <x:v>34</x:v>
      </x:c>
      <x:c r="E9" s="19" t="n">
        <x:f>SUM(B9:D9)</x:f>
        <x:v>113</x:v>
      </x:c>
      <x:c r="F9" s="14" t="str">
        <x:v>包含A股、ETF、国内宏观、股指期货和黄金，明细按业务分组区分。</x:v>
      </x:c>
    </x:row>
    <x:row r="10" ht="36" customHeight="1">
      <x:c r="A10" s="2" t="str">
        <x:v>共用/跨市场</x:v>
      </x:c>
      <x:c r="B10" s="19" t="n">
        <x:f>COUNTIFS('逐表明细'!$A$7:$A$143,$A10,'逐表明细'!$C$7:$C$143,"采集")</x:f>
        <x:v>2</x:v>
      </x:c>
      <x:c r="C10" s="19" t="n">
        <x:f>COUNTIFS('逐表明细'!$A$7:$A$143,$A10,'逐表明细'!$C$7:$C$143,"衍生视图")</x:f>
        <x:v>0</x:v>
      </x:c>
      <x:c r="D10" s="19" t="n">
        <x:f>COUNTIFS('逐表明细'!$A$7:$A$143,$A10,'逐表明细'!$C$7:$C$143,"运行生成")</x:f>
        <x:v>16</x:v>
      </x:c>
      <x:c r="E10" s="19" t="n">
        <x:f>SUM(B10:D10)</x:f>
        <x:v>18</x:v>
      </x:c>
      <x:c r="F10" s="14" t="str">
        <x:v>交易日历、全球财经事件，以及跨资产共用的因子/模型平台结构。</x:v>
      </x:c>
    </x:row>
    <x:row r="11" ht="23" customHeight="1">
      <x:c r="A11" s="16" t="str">
        <x:v>合计</x:v>
      </x:c>
      <x:c r="B11" s="20" t="n">
        <x:f>SUM(B7:B10)</x:f>
        <x:v>83</x:v>
      </x:c>
      <x:c r="C11" s="20" t="n">
        <x:f>SUM(C7:C10)</x:f>
        <x:v>4</x:v>
      </x:c>
      <x:c r="D11" s="20" t="n">
        <x:f>SUM(D7:D10)</x:f>
        <x:v>50</x:v>
      </x:c>
      <x:c r="E11" s="20" t="n">
        <x:f>SUM(E7:E10)</x:f>
        <x:v>137</x:v>
      </x:c>
      <x:c r="F11" s="15"/>
    </x:row>
    <x:row r="12" ht="23" customHeight="1">
      <x:c r="A12" s="2"/>
      <x:c r="B12" s="2"/>
      <x:c r="C12" s="2"/>
      <x:c r="D12" s="2"/>
      <x:c r="E12" s="2"/>
      <x:c r="F12" s="2"/>
    </x:row>
    <x:row r="13" ht="23" customHeight="1">
      <x:c r="A13" s="2"/>
      <x:c r="B13" s="2"/>
      <x:c r="C13" s="2"/>
      <x:c r="D13" s="2"/>
      <x:c r="E13" s="2"/>
      <x:c r="F13" s="2"/>
    </x:row>
    <x:row r="14" ht="23" customHeight="1">
      <x:c r="A14" s="21" t="str">
        <x:v>4 个衍生物化视图</x:v>
      </x:c>
      <x:c r="B14" s="2"/>
      <x:c r="C14" s="2"/>
      <x:c r="D14" s="2"/>
      <x:c r="E14" s="2"/>
      <x:c r="F14" s="2"/>
    </x:row>
    <x:row r="15" ht="28" customHeight="1">
      <x:c r="A15" s="11" t="str">
        <x:v>物化视图</x:v>
      </x:c>
      <x:c r="B15" s="12" t="str">
        <x:v>基表</x:v>
      </x:c>
      <x:c r="C15" s="12" t="str">
        <x:v>刷新方式</x:v>
      </x:c>
      <x:c r="D15" s="12" t="str">
        <x:v>状态</x:v>
      </x:c>
      <x:c r="E15" s="12" t="str">
        <x:v>行数</x:v>
      </x:c>
      <x:c r="F15" s="13" t="str">
        <x:v>上游/说明</x:v>
      </x:c>
    </x:row>
    <x:row r="16" ht="52" customHeight="1">
      <x:c r="A16" s="14" t="str">
        <x:v>mv_backtest_daily</x:v>
      </x:c>
      <x:c r="B16" s="14" t="str">
        <x:v>stk_limit</x:v>
      </x:c>
      <x:c r="C16" s="14" t="str">
        <x:v>即时刷新</x:v>
      </x:c>
      <x:c r="D16" s="14" t="str">
        <x:v>valid</x:v>
      </x:c>
      <x:c r="E16" s="23" t="n">
        <x:v>10439448</x:v>
      </x:c>
      <x:c r="F16" s="14" t="str">
        <x:v>stk_factor + stk_limit + stk_suspend + stk_st_daily。stk_limit写入触发；采集需先写关联源、最后写stk_limit。关联表单独变化不触发。</x:v>
      </x:c>
    </x:row>
    <x:row r="17" ht="52" customHeight="1">
      <x:c r="A17" s="14" t="str">
        <x:v>mv_etf_market_overview_daily_v1</x:v>
      </x:c>
      <x:c r="B17" s="14" t="str">
        <x:v>etf_share</x:v>
      </x:c>
      <x:c r="C17" s="14" t="str">
        <x:v>即时刷新</x:v>
      </x:c>
      <x:c r="D17" s="14" t="str">
        <x:v>valid</x:v>
      </x:c>
      <x:c r="E17" s="23" t="n">
        <x:v>2117</x:v>
      </x:c>
      <x:c r="F17" s="14" t="str">
        <x:v>etf_share + etf_daily。etf_share写入触发；仅修改etf_daily不会独立触发原生刷新。</x:v>
      </x:c>
    </x:row>
    <x:row r="18" ht="52" customHeight="1">
      <x:c r="A18" s="14" t="str">
        <x:v>mv_market_breadth_daily_v1</x:v>
      </x:c>
      <x:c r="B18" s="14" t="str">
        <x:v>stk_factor</x:v>
      </x:c>
      <x:c r="C18" s="14" t="str">
        <x:v>每1分钟</x:v>
      </x:c>
      <x:c r="D18" s="14" t="str">
        <x:v>valid</x:v>
      </x:c>
      <x:c r="E18" s="23" t="n">
        <x:v>2226</x:v>
      </x:c>
      <x:c r="F18" s="14" t="str">
        <x:v>stk_factor。</x:v>
      </x:c>
    </x:row>
    <x:row r="19" ht="52" customHeight="1">
      <x:c r="A19" s="14" t="str">
        <x:v>mv_retail_sentiment_daily_v1</x:v>
      </x:c>
      <x:c r="B19" s="14" t="str">
        <x:v>l2_daily_features</x:v>
      </x:c>
      <x:c r="C19" s="14" t="str">
        <x:v>每1分钟</x:v>
      </x:c>
      <x:c r="D19" s="14" t="str">
        <x:v>valid</x:v>
      </x:c>
      <x:c r="E19" s="23" t="n">
        <x:v>914</x:v>
      </x:c>
      <x:c r="F19" s="14" t="str">
        <x:v>l2_daily_features。</x:v>
      </x:c>
    </x:row>
    <x:row r="20" ht="23" customHeight="1">
      <x:c r="A20" s="2"/>
      <x:c r="B20" s="2"/>
      <x:c r="C20" s="2"/>
      <x:c r="D20" s="2"/>
      <x:c r="E20" s="2"/>
      <x:c r="F20" s="2"/>
    </x:row>
    <x:row r="21" ht="23" customHeight="1">
      <x:c r="A21" s="2"/>
      <x:c r="B21" s="2"/>
      <x:c r="C21" s="2"/>
      <x:c r="D21" s="2"/>
      <x:c r="E21" s="2"/>
      <x:c r="F21" s="2"/>
    </x:row>
    <x:row r="22" ht="23" customHeight="1">
      <x:c r="A22" s="21" t="str">
        <x:v>分类口径</x:v>
      </x:c>
      <x:c r="B22" s="2"/>
      <x:c r="C22" s="2"/>
      <x:c r="D22" s="2"/>
      <x:c r="E22" s="2"/>
      <x:c r="F22" s="2"/>
    </x:row>
    <x:row r="23" ht="23" customHeight="1">
      <x:c r="A23" s="2" t="str">
        <x:v>采集</x:v>
      </x:c>
      <x:c r="B23" s="2" t="str">
        <x:v>外部接口、行情流或文件带来的数据。来源已提供的技术指标也归此类。</x:v>
      </x:c>
      <x:c r="C23" s="2"/>
      <x:c r="D23" s="2"/>
      <x:c r="E23" s="2"/>
      <x:c r="F23" s="2"/>
    </x:row>
    <x:row r="24" ht="23" customHeight="1">
      <x:c r="A24" s="2" t="str">
        <x:v>衍生视图</x:v>
      </x:c>
      <x:c r="B24" s="2" t="str">
        <x:v>QuestDB实际登记的View/物化视图。本实例是4个物化视图，普通View为0。</x:v>
      </x:c>
      <x:c r="C24" s="2"/>
      <x:c r="D24" s="2"/>
      <x:c r="E24" s="2"/>
      <x:c r="F24" s="2"/>
    </x:row>
    <x:row r="25" ht="23" customHeight="1">
      <x:c r="A25" s="2" t="str">
        <x:v>运行生成</x:v>
      </x:c>
      <x:c r="B25" s="2" t="str">
        <x:v>应用计算结果、因子/模型登记、日志、配置和暂存数据。物理类型仍为表。</x:v>
      </x:c>
      <x:c r="C25" s="2"/>
      <x:c r="D25" s="2"/>
      <x:c r="E25" s="2"/>
      <x:c r="F25" s="2"/>
    </x:row>
    <x:row r="26" ht="23" customHeight="1">
      <x:c r="A26" s="2"/>
      <x:c r="B26" s="2"/>
      <x:c r="C26" s="2"/>
      <x:c r="D26" s="2"/>
      <x:c r="E26" s="2"/>
      <x:c r="F26" s="2"/>
    </x:row>
    <x:row r="27" ht="23" customHeight="1">
      <x:c r="A27" s="21" t="str">
        <x:v>说明</x:v>
      </x:c>
      <x:c r="B27" s="2"/>
      <x:c r="C27" s="2"/>
      <x:c r="D27" s="2"/>
      <x:c r="E27" s="2"/>
      <x:c r="F27" s="2"/>
    </x:row>
    <x:row r="28" ht="23" customHeight="1">
      <x:c r="A28" s="2" t="str">
        <x:v>逐表明细覆盖137个对象，可筛选市场、来源分类、业务分组和对象类型。</x:v>
      </x:c>
      <x:c r="B28" s="2"/>
      <x:c r="C28" s="2"/>
      <x:c r="D28" s="2"/>
      <x:c r="E28" s="2"/>
      <x:c r="F28" s="2"/>
    </x:row>
    <x:row r="29" ht="23" customHeight="1">
      <x:c r="A29" s="2" t="str">
        <x:v>分类表示数据来源，不表示对应任务正在自动运行。历史保留结果不等于当前仍写入。</x:v>
      </x:c>
      <x:c r="B29" s="2"/>
      <x:c r="C29" s="2"/>
      <x:c r="D29" s="2"/>
      <x:c r="E29" s="2"/>
      <x:c r="F29" s="2"/>
    </x:row>
    <x:row r="30" ht="23" customHeight="1">
      <x:c r="A30" s="2" t="str">
        <x:v>stk_factor / etf_factor 的指标由外部来源提供，归为采集；本地因子计算结果归运行生成。</x:v>
      </x:c>
      <x:c r="B30" s="2"/>
      <x:c r="C30" s="2"/>
      <x:c r="D30" s="2"/>
      <x:c r="E30" s="2"/>
      <x:c r="F30" s="2"/>
    </x:row>
    <x:row r="31" ht="23" customHeight="1">
      <x:c r="A31" s="2" t="str">
        <x:v>来源依据为QuestDB系统目录和项目采集/计算合同。未返回的行数保持空白，不填0。</x:v>
      </x:c>
      <x:c r="B31" s="2"/>
      <x:c r="C31" s="2"/>
      <x:c r="D31" s="2"/>
      <x:c r="E31" s="2"/>
      <x:c r="F31" s="2"/>
    </x:row>
    <x:row r="32" ht="23" customHeight="1">
      <x:c r="A32" s="2" t="str">
        <x:v>backtest_daily、v_backtest_daily及已迁出的订单/策略记录不在本次实库清单中。</x:v>
      </x:c>
      <x:c r="B32" s="2"/>
      <x:c r="C32" s="2"/>
      <x:c r="D32" s="2"/>
      <x:c r="E32" s="2"/>
      <x:c r="F32" s="2"/>
    </x:row>
    <x:row r="33" ht="23" customHeight="1">
      <x:c r="A33" s="2"/>
      <x:c r="B33" s="2"/>
      <x:c r="C33" s="2"/>
      <x:c r="D33" s="2"/>
      <x:c r="E33" s="2"/>
      <x:c r="F33" s="2"/>
    </x:row>
    <x:row r="34" ht="23" customHeight="1">
      <x:c r="A34" s="2"/>
      <x:c r="B34" s="2"/>
      <x:c r="C34" s="2"/>
      <x:c r="D34" s="2"/>
      <x:c r="E34" s="2"/>
      <x:c r="F34" s="2"/>
    </x:row>
    <x:row r="35" ht="23" customHeight="1">
      <x:c r="A35" s="2"/>
      <x:c r="B35" s="2"/>
      <x:c r="C35" s="2"/>
      <x:c r="D35" s="2"/>
      <x:c r="E35" s="2"/>
      <x:c r="F35" s="2"/>
    </x:row>
    <x:row r="36" ht="23" customHeight="1">
      <x:c r="A36" s="2"/>
      <x:c r="B36" s="2"/>
      <x:c r="C36" s="2"/>
      <x:c r="D36" s="2"/>
      <x:c r="E36" s="2"/>
      <x:c r="F36" s="2"/>
    </x:row>
    <x:row r="37" ht="23" customHeight="1">
      <x:c r="A37" s="2"/>
      <x:c r="B37" s="2"/>
      <x:c r="C37" s="2"/>
      <x:c r="D37" s="2"/>
      <x:c r="E37" s="2"/>
      <x:c r="F37" s="2"/>
    </x:row>
    <x:row r="38" ht="23" customHeight="1">
      <x:c r="A38" s="2"/>
      <x:c r="B38" s="2"/>
      <x:c r="C38" s="2"/>
      <x:c r="D38" s="2"/>
      <x:c r="E38" s="2"/>
      <x:c r="F38" s="2"/>
    </x:row>
    <x:row r="39" ht="23" customHeight="1">
      <x:c r="A39" s="2"/>
      <x:c r="B39" s="2"/>
      <x:c r="C39" s="2"/>
      <x:c r="D39" s="2"/>
      <x:c r="E39" s="2"/>
      <x:c r="F39" s="2"/>
    </x:row>
    <x:row r="40" ht="23" customHeight="1">
      <x:c r="A40" s="2"/>
      <x:c r="B40" s="2"/>
      <x:c r="C40" s="2"/>
      <x:c r="D40" s="2"/>
      <x:c r="E40" s="2"/>
      <x:c r="F40" s="2"/>
    </x:row>
    <x:row r="41" ht="23" customHeight="1">
      <x:c r="A41" s="2"/>
      <x:c r="B41" s="2"/>
      <x:c r="C41" s="2"/>
      <x:c r="D41" s="2"/>
      <x:c r="E41" s="2"/>
      <x:c r="F41" s="2"/>
    </x:row>
    <x:row r="42" ht="23" customHeight="1">
      <x:c r="A42" s="2"/>
      <x:c r="B42" s="2"/>
      <x:c r="C42" s="2"/>
      <x:c r="D42" s="2"/>
      <x:c r="E42" s="2"/>
      <x:c r="F42" s="2"/>
    </x:row>
    <x:row r="43" ht="23" customHeight="1">
      <x:c r="A43" s="2"/>
      <x:c r="B43" s="2"/>
      <x:c r="C43" s="2"/>
      <x:c r="D43" s="2"/>
      <x:c r="E43" s="2"/>
      <x:c r="F43" s="2"/>
    </x:row>
    <x:row r="44" ht="23" customHeight="1">
      <x:c r="A44" s="2"/>
      <x:c r="B44" s="2"/>
      <x:c r="C44" s="2"/>
      <x:c r="D44" s="2"/>
      <x:c r="E44" s="2"/>
      <x:c r="F44" s="2"/>
    </x:row>
    <x:row r="45" ht="23" customHeight="1">
      <x:c r="A45" s="2"/>
      <x:c r="B45" s="2"/>
      <x:c r="C45" s="2"/>
      <x:c r="D45" s="2"/>
      <x:c r="E45" s="2"/>
      <x:c r="F45" s="2"/>
    </x:row>
    <x:row r="46" ht="23" customHeight="1">
      <x:c r="A46" s="2"/>
      <x:c r="B46" s="2"/>
      <x:c r="C46" s="2"/>
      <x:c r="D46" s="2"/>
      <x:c r="E46" s="2"/>
      <x:c r="F46" s="2"/>
    </x:row>
    <x:row r="47" ht="23" customHeight="1">
      <x:c r="A47" s="2"/>
      <x:c r="B47" s="2"/>
      <x:c r="C47" s="2"/>
      <x:c r="D47" s="2"/>
      <x:c r="E47" s="2"/>
      <x:c r="F47" s="2"/>
    </x:row>
    <x:row r="48" ht="23" customHeight="1">
      <x:c r="A48" s="2"/>
      <x:c r="B48" s="2"/>
      <x:c r="C48" s="2"/>
      <x:c r="D48" s="2"/>
      <x:c r="E48" s="2"/>
      <x:c r="F4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394A4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3" hidden="0" customWidth="1"/>
    <x:col min="4" max="4" width="76" hidden="0" customWidth="1"/>
    <x:col min="5" max="5" width="14" hidden="0" customWidth="1"/>
    <x:col min="6" max="6" width="46" hidden="0" customWidth="1"/>
    <x:col min="7" max="7" width="64" hidden="0" customWidth="1"/>
    <x:col min="8" max="8" width="48" hidden="0" customWidth="1"/>
    <x:col min="9" max="9" width="16" hidden="0" customWidth="1"/>
    <x:col min="10" max="10" width="12" hidden="0" customWidth="1"/>
    <x:col min="11" max="11" width="92" hidden="0" customWidth="1"/>
    <x:col min="12" max="12" width="7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QuestDB 逐表明细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 t="str">
        <x:v>分类来自项目合同与模型，表/视图类型及行数来自实库系统目录。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8" customHeight="1">
      <x:c r="A6" s="11" t="str">
        <x:v>市场分组</x:v>
      </x:c>
      <x:c r="B6" s="12" t="str">
        <x:v>业务分组</x:v>
      </x:c>
      <x:c r="C6" s="12" t="str">
        <x:v>来源分类</x:v>
      </x:c>
      <x:c r="D6" s="12" t="str">
        <x:v>对象名</x:v>
      </x:c>
      <x:c r="E6" s="12" t="str">
        <x:v>数据库类型</x:v>
      </x:c>
      <x:c r="F6" s="12" t="str">
        <x:v>内容/用途</x:v>
      </x:c>
      <x:c r="G6" s="12" t="str">
        <x:v>来源或上游</x:v>
      </x:c>
      <x:c r="H6" s="12" t="str">
        <x:v>维护方式</x:v>
      </x:c>
      <x:c r="I6" s="12" t="str">
        <x:v>当前行数</x:v>
      </x:c>
      <x:c r="J6" s="12" t="str">
        <x:v>对象状态</x:v>
      </x:c>
      <x:c r="K6" s="12" t="str">
        <x:v>备注</x:v>
      </x:c>
      <x:c r="L6" s="13" t="str">
        <x:v>判断依据</x:v>
      </x:c>
    </x:row>
    <x:row r="7" ht="45" customHeight="1">
      <x:c r="A7" s="2" t="str">
        <x:v>美股</x:v>
      </x:c>
      <x:c r="B7" s="14" t="str">
        <x:v>美国国债/利率</x:v>
      </x:c>
      <x:c r="C7" s="14" t="str">
        <x:v>采集</x:v>
      </x:c>
      <x:c r="D7" s="14" t="str">
        <x:v>us_tbr</x:v>
      </x:c>
      <x:c r="E7" s="14" t="str">
        <x:v>表</x:v>
      </x:c>
      <x:c r="F7" s="14" t="str">
        <x:v>美国短期国债利率</x:v>
      </x:c>
      <x:c r="G7" s="14" t="str">
        <x:v>Tushare 同名美国利率接口</x:v>
      </x:c>
      <x:c r="H7" s="14" t="str">
        <x:v>来源采集/文件导入</x:v>
      </x:c>
      <x:c r="I7" s="23" t="n">
        <x:v>224038</x:v>
      </x:c>
      <x:c r="J7" s="14" t="str">
        <x:v>存在</x:v>
      </x:c>
      <x:c r="K7" s="14" t="str"/>
      <x:c r="L7" s="14" t="str">
        <x:v>项目外部源合同及数据模型；实库 tables()</x:v>
      </x:c>
    </x:row>
    <x:row r="8" ht="45" customHeight="1">
      <x:c r="A8" s="2" t="str">
        <x:v>美股</x:v>
      </x:c>
      <x:c r="B8" s="14" t="str">
        <x:v>美国国债/利率</x:v>
      </x:c>
      <x:c r="C8" s="14" t="str">
        <x:v>采集</x:v>
      </x:c>
      <x:c r="D8" s="14" t="str">
        <x:v>us_tltr</x:v>
      </x:c>
      <x:c r="E8" s="14" t="str">
        <x:v>表</x:v>
      </x:c>
      <x:c r="F8" s="14" t="str">
        <x:v>美国长期国债利率</x:v>
      </x:c>
      <x:c r="G8" s="14" t="str">
        <x:v>Tushare 同名美国利率接口</x:v>
      </x:c>
      <x:c r="H8" s="14" t="str">
        <x:v>来源采集/文件导入</x:v>
      </x:c>
      <x:c r="I8" s="23" t="n">
        <x:v>224038</x:v>
      </x:c>
      <x:c r="J8" s="14" t="str">
        <x:v>存在</x:v>
      </x:c>
      <x:c r="K8" s="14" t="str"/>
      <x:c r="L8" s="14" t="str">
        <x:v>项目外部源合同及数据模型；实库 tables()</x:v>
      </x:c>
    </x:row>
    <x:row r="9" ht="45" customHeight="1">
      <x:c r="A9" s="2" t="str">
        <x:v>美股</x:v>
      </x:c>
      <x:c r="B9" s="14" t="str">
        <x:v>美国国债/利率</x:v>
      </x:c>
      <x:c r="C9" s="14" t="str">
        <x:v>采集</x:v>
      </x:c>
      <x:c r="D9" s="14" t="str">
        <x:v>us_trltr</x:v>
      </x:c>
      <x:c r="E9" s="14" t="str">
        <x:v>表</x:v>
      </x:c>
      <x:c r="F9" s="14" t="str">
        <x:v>美国实际长期利率平均值</x:v>
      </x:c>
      <x:c r="G9" s="14" t="str">
        <x:v>Tushare 同名美国利率接口</x:v>
      </x:c>
      <x:c r="H9" s="14" t="str">
        <x:v>来源采集/文件导入</x:v>
      </x:c>
      <x:c r="I9" s="23" t="n">
        <x:v>224038</x:v>
      </x:c>
      <x:c r="J9" s="14" t="str">
        <x:v>存在</x:v>
      </x:c>
      <x:c r="K9" s="14" t="str"/>
      <x:c r="L9" s="14" t="str">
        <x:v>项目外部源合同及数据模型；实库 tables()</x:v>
      </x:c>
    </x:row>
    <x:row r="10" ht="45" customHeight="1">
      <x:c r="A10" s="2" t="str">
        <x:v>美股</x:v>
      </x:c>
      <x:c r="B10" s="14" t="str">
        <x:v>美国国债/利率</x:v>
      </x:c>
      <x:c r="C10" s="14" t="str">
        <x:v>采集</x:v>
      </x:c>
      <x:c r="D10" s="14" t="str">
        <x:v>us_trycr</x:v>
      </x:c>
      <x:c r="E10" s="14" t="str">
        <x:v>表</x:v>
      </x:c>
      <x:c r="F10" s="14" t="str">
        <x:v>美国实际国债收益率曲线</x:v>
      </x:c>
      <x:c r="G10" s="14" t="str">
        <x:v>Tushare 同名美国利率接口</x:v>
      </x:c>
      <x:c r="H10" s="14" t="str">
        <x:v>来源采集/文件导入</x:v>
      </x:c>
      <x:c r="I10" s="23" t="n">
        <x:v>224038</x:v>
      </x:c>
      <x:c r="J10" s="14" t="str">
        <x:v>存在</x:v>
      </x:c>
      <x:c r="K10" s="14" t="str"/>
      <x:c r="L10" s="14" t="str">
        <x:v>项目外部源合同及数据模型；实库 tables()</x:v>
      </x:c>
    </x:row>
    <x:row r="11" ht="45" customHeight="1">
      <x:c r="A11" s="2" t="str">
        <x:v>美股</x:v>
      </x:c>
      <x:c r="B11" s="14" t="str">
        <x:v>美国国债/利率</x:v>
      </x:c>
      <x:c r="C11" s="14" t="str">
        <x:v>采集</x:v>
      </x:c>
      <x:c r="D11" s="14" t="str">
        <x:v>us_tycr</x:v>
      </x:c>
      <x:c r="E11" s="14" t="str">
        <x:v>表</x:v>
      </x:c>
      <x:c r="F11" s="14" t="str">
        <x:v>美国国债收益率曲线</x:v>
      </x:c>
      <x:c r="G11" s="14" t="str">
        <x:v>Tushare 同名美国利率接口</x:v>
      </x:c>
      <x:c r="H11" s="14" t="str">
        <x:v>来源采集/文件导入</x:v>
      </x:c>
      <x:c r="I11" s="23" t="n">
        <x:v>224038</x:v>
      </x:c>
      <x:c r="J11" s="14" t="str">
        <x:v>存在</x:v>
      </x:c>
      <x:c r="K11" s="14" t="str"/>
      <x:c r="L11" s="14" t="str">
        <x:v>项目外部源合同及数据模型；实库 tables()</x:v>
      </x:c>
    </x:row>
    <x:row r="12" ht="45" customHeight="1">
      <x:c r="A12" s="2" t="str">
        <x:v>美股</x:v>
      </x:c>
      <x:c r="B12" s="14" t="str">
        <x:v>美股指数/波动率</x:v>
      </x:c>
      <x:c r="C12" s="14" t="str">
        <x:v>采集</x:v>
      </x:c>
      <x:c r="D12" s="14" t="str">
        <x:v>us_market_daily</x:v>
      </x:c>
      <x:c r="E12" s="14" t="str">
        <x:v>表</x:v>
      </x:c>
      <x:c r="F12" s="14" t="str">
        <x:v>纳斯达克综合、标普500及VIX日收盘序列</x:v>
      </x:c>
      <x:c r="G12" s="14" t="str">
        <x:v>FRED：NASDAQCOM、SP500、VIXCLS</x:v>
      </x:c>
      <x:c r="H12" s="14" t="str">
        <x:v>来源采集/文件导入</x:v>
      </x:c>
      <x:c r="I12" s="23" t="n">
        <x:v>7691</x:v>
      </x:c>
      <x:c r="J12" s="14" t="str">
        <x:v>存在</x:v>
      </x:c>
      <x:c r="K12" s="14" t="str">
        <x:v>本表是指数与波动率数据，不是美股个股行情。</x:v>
      </x:c>
      <x:c r="L12" s="14" t="str">
        <x:v>实库序列代码和 source_id/source_url；项目 UsMarketDaily 模型</x:v>
      </x:c>
    </x:row>
    <x:row r="13" ht="45" customHeight="1">
      <x:c r="A13" s="2" t="str">
        <x:v>A股及国内配套</x:v>
      </x:c>
      <x:c r="B13" s="14" t="str">
        <x:v>ETF</x:v>
      </x:c>
      <x:c r="C13" s="14" t="str">
        <x:v>采集</x:v>
      </x:c>
      <x:c r="D13" s="14" t="str">
        <x:v>etf_adj</x:v>
      </x:c>
      <x:c r="E13" s="14" t="str">
        <x:v>表</x:v>
      </x:c>
      <x:c r="F13" s="14" t="str">
        <x:v>ETF复权因子</x:v>
      </x:c>
      <x:c r="G13" s="14" t="str">
        <x:v>Tushare基金/ETF接口</x:v>
      </x:c>
      <x:c r="H13" s="14" t="str">
        <x:v>来源采集/文件导入</x:v>
      </x:c>
      <x:c r="I13" s="23" t="n">
        <x:v>1589182</x:v>
      </x:c>
      <x:c r="J13" s="14" t="str">
        <x:v>存在</x:v>
      </x:c>
      <x:c r="K13" s="14" t="str"/>
      <x:c r="L13" s="14" t="str">
        <x:v>项目外部源合同及数据模型；实库 tables()</x:v>
      </x:c>
    </x:row>
    <x:row r="14" ht="45" customHeight="1">
      <x:c r="A14" s="2" t="str">
        <x:v>A股及国内配套</x:v>
      </x:c>
      <x:c r="B14" s="14" t="str">
        <x:v>ETF</x:v>
      </x:c>
      <x:c r="C14" s="14" t="str">
        <x:v>采集</x:v>
      </x:c>
      <x:c r="D14" s="14" t="str">
        <x:v>etf_basic</x:v>
      </x:c>
      <x:c r="E14" s="14" t="str">
        <x:v>表</x:v>
      </x:c>
      <x:c r="F14" s="14" t="str">
        <x:v>ETF基础资料</x:v>
      </x:c>
      <x:c r="G14" s="14" t="str">
        <x:v>Tushare基金/ETF接口</x:v>
      </x:c>
      <x:c r="H14" s="14" t="str">
        <x:v>来源采集/文件导入</x:v>
      </x:c>
      <x:c r="I14" s="23" t="n">
        <x:v>2958</x:v>
      </x:c>
      <x:c r="J14" s="14" t="str">
        <x:v>存在</x:v>
      </x:c>
      <x:c r="K14" s="14" t="str"/>
      <x:c r="L14" s="14" t="str">
        <x:v>项目外部源合同及数据模型；实库 tables()</x:v>
      </x:c>
    </x:row>
    <x:row r="15" ht="45" customHeight="1">
      <x:c r="A15" s="2" t="str">
        <x:v>A股及国内配套</x:v>
      </x:c>
      <x:c r="B15" s="14" t="str">
        <x:v>ETF</x:v>
      </x:c>
      <x:c r="C15" s="14" t="str">
        <x:v>采集</x:v>
      </x:c>
      <x:c r="D15" s="14" t="str">
        <x:v>etf_daily</x:v>
      </x:c>
      <x:c r="E15" s="14" t="str">
        <x:v>表</x:v>
      </x:c>
      <x:c r="F15" s="14" t="str">
        <x:v>ETF日行情</x:v>
      </x:c>
      <x:c r="G15" s="14" t="str">
        <x:v>Tushare基金/ETF接口</x:v>
      </x:c>
      <x:c r="H15" s="14" t="str">
        <x:v>来源采集/文件导入</x:v>
      </x:c>
      <x:c r="I15" s="23" t="n">
        <x:v>2139247</x:v>
      </x:c>
      <x:c r="J15" s="14" t="str">
        <x:v>存在</x:v>
      </x:c>
      <x:c r="K15" s="14" t="str"/>
      <x:c r="L15" s="14" t="str">
        <x:v>项目外部源合同及数据模型；实库 tables()</x:v>
      </x:c>
    </x:row>
    <x:row r="16" ht="45" customHeight="1">
      <x:c r="A16" s="2" t="str">
        <x:v>A股及国内配套</x:v>
      </x:c>
      <x:c r="B16" s="14" t="str">
        <x:v>ETF</x:v>
      </x:c>
      <x:c r="C16" s="14" t="str">
        <x:v>采集</x:v>
      </x:c>
      <x:c r="D16" s="14" t="str">
        <x:v>etf_factor</x:v>
      </x:c>
      <x:c r="E16" s="14" t="str">
        <x:v>表</x:v>
      </x:c>
      <x:c r="F16" s="14" t="str">
        <x:v>ETF日行情及来源提供的技术指标</x:v>
      </x:c>
      <x:c r="G16" s="14" t="str">
        <x:v>Tushare基金/ETF接口</x:v>
      </x:c>
      <x:c r="H16" s="14" t="str">
        <x:v>来源采集/文件导入</x:v>
      </x:c>
      <x:c r="I16" s="23" t="n">
        <x:v>1088157</x:v>
      </x:c>
      <x:c r="J16" s="14" t="str">
        <x:v>存在</x:v>
      </x:c>
      <x:c r="K16" s="14" t="str">
        <x:v>来源为 fund_factor_pro，技术指标由外部接口提供，归为采集。</x:v>
      </x:c>
      <x:c r="L16" s="14" t="str">
        <x:v>项目外部源合同及数据模型；实库 tables()</x:v>
      </x:c>
    </x:row>
    <x:row r="17" ht="45" customHeight="1">
      <x:c r="A17" s="2" t="str">
        <x:v>A股及国内配套</x:v>
      </x:c>
      <x:c r="B17" s="14" t="str">
        <x:v>ETF</x:v>
      </x:c>
      <x:c r="C17" s="14" t="str">
        <x:v>采集</x:v>
      </x:c>
      <x:c r="D17" s="14" t="str">
        <x:v>etf_portfolio</x:v>
      </x:c>
      <x:c r="E17" s="14" t="str">
        <x:v>表</x:v>
      </x:c>
      <x:c r="F17" s="14" t="str">
        <x:v>ETF披露持仓</x:v>
      </x:c>
      <x:c r="G17" s="14" t="str">
        <x:v>Tushare基金/ETF接口</x:v>
      </x:c>
      <x:c r="H17" s="14" t="str">
        <x:v>来源采集/文件导入</x:v>
      </x:c>
      <x:c r="I17" s="23" t="n">
        <x:v>6512523</x:v>
      </x:c>
      <x:c r="J17" s="14" t="str">
        <x:v>存在</x:v>
      </x:c>
      <x:c r="K17" s="14" t="str"/>
      <x:c r="L17" s="14" t="str">
        <x:v>项目外部源合同及数据模型；实库 tables()</x:v>
      </x:c>
    </x:row>
    <x:row r="18" ht="45" customHeight="1">
      <x:c r="A18" s="2" t="str">
        <x:v>A股及国内配套</x:v>
      </x:c>
      <x:c r="B18" s="14" t="str">
        <x:v>ETF</x:v>
      </x:c>
      <x:c r="C18" s="14" t="str">
        <x:v>采集</x:v>
      </x:c>
      <x:c r="D18" s="14" t="str">
        <x:v>etf_share</x:v>
      </x:c>
      <x:c r="E18" s="14" t="str">
        <x:v>表</x:v>
      </x:c>
      <x:c r="F18" s="14" t="str">
        <x:v>ETF份额/规模</x:v>
      </x:c>
      <x:c r="G18" s="14" t="str">
        <x:v>Tushare基金/ETF接口</x:v>
      </x:c>
      <x:c r="H18" s="14" t="str">
        <x:v>来源采集/文件导入</x:v>
      </x:c>
      <x:c r="I18" s="23" t="n">
        <x:v>326396</x:v>
      </x:c>
      <x:c r="J18" s="14" t="str">
        <x:v>存在</x:v>
      </x:c>
      <x:c r="K18" s="14" t="str"/>
      <x:c r="L18" s="14" t="str">
        <x:v>项目外部源合同及数据模型；实库 tables()</x:v>
      </x:c>
    </x:row>
    <x:row r="19" ht="45" customHeight="1">
      <x:c r="A19" s="2" t="str">
        <x:v>A股及国内配套</x:v>
      </x:c>
      <x:c r="B19" s="14" t="str">
        <x:v>QMT行情</x:v>
      </x:c>
      <x:c r="C19" s="14" t="str">
        <x:v>采集</x:v>
      </x:c>
      <x:c r="D19" s="14" t="str">
        <x:v>qmt_1m_bars</x:v>
      </x:c>
      <x:c r="E19" s="14" t="str">
        <x:v>表</x:v>
      </x:c>
      <x:c r="F19" s="14" t="str">
        <x:v>QMT 1分钟K线</x:v>
      </x:c>
      <x:c r="G19" s="14" t="str">
        <x:v>QMT行情接口</x:v>
      </x:c>
      <x:c r="H19" s="14" t="str">
        <x:v>来源采集/文件导入</x:v>
      </x:c>
      <x:c r="I19" s="23" t="n">
        <x:v>4873</x:v>
      </x:c>
      <x:c r="J19" s="14" t="str">
        <x:v>存在</x:v>
      </x:c>
      <x:c r="K19" s="14" t="str"/>
      <x:c r="L19" s="14" t="str">
        <x:v>项目 QmtTickData / QmtMinuteBar 模型；实库 tables()</x:v>
      </x:c>
    </x:row>
    <x:row r="20" ht="45" customHeight="1">
      <x:c r="A20" s="2" t="str">
        <x:v>A股及国内配套</x:v>
      </x:c>
      <x:c r="B20" s="14" t="str">
        <x:v>QMT行情</x:v>
      </x:c>
      <x:c r="C20" s="14" t="str">
        <x:v>采集</x:v>
      </x:c>
      <x:c r="D20" s="14" t="str">
        <x:v>qmt_tick_data</x:v>
      </x:c>
      <x:c r="E20" s="14" t="str">
        <x:v>表</x:v>
      </x:c>
      <x:c r="F20" s="14" t="str">
        <x:v>QMT行情Tick</x:v>
      </x:c>
      <x:c r="G20" s="14" t="str">
        <x:v>QMT行情接口</x:v>
      </x:c>
      <x:c r="H20" s="14" t="str">
        <x:v>来源采集/文件导入</x:v>
      </x:c>
      <x:c r="I20" s="23" t="n">
        <x:v>648783</x:v>
      </x:c>
      <x:c r="J20" s="14" t="str">
        <x:v>存在</x:v>
      </x:c>
      <x:c r="K20" s="14" t="str"/>
      <x:c r="L20" s="14" t="str">
        <x:v>项目 QmtTickData / QmtMinuteBar 模型；实库 tables()</x:v>
      </x:c>
    </x:row>
    <x:row r="21" ht="45" customHeight="1">
      <x:c r="A21" s="2" t="str">
        <x:v>A股及国内配套</x:v>
      </x:c>
      <x:c r="B21" s="14" t="str">
        <x:v>分钟行情</x:v>
      </x:c>
      <x:c r="C21" s="14" t="str">
        <x:v>采集</x:v>
      </x:c>
      <x:c r="D21" s="14" t="str">
        <x:v>stock_minute_bars</x:v>
      </x:c>
      <x:c r="E21" s="14" t="str">
        <x:v>表</x:v>
      </x:c>
      <x:c r="F21" s="14" t="str">
        <x:v>历史全市场股票1分钟OHLCV</x:v>
      </x:c>
      <x:c r="G21" s="14" t="str">
        <x:v>外部分钟行情CSV文件</x:v>
      </x:c>
      <x:c r="H21" s="14" t="str">
        <x:v>来源采集/文件导入</x:v>
      </x:c>
      <x:c r="I21" s="23" t="n">
        <x:v>543683520</x:v>
      </x:c>
      <x:c r="J21" s="14" t="str">
        <x:v>存在</x:v>
      </x:c>
      <x:c r="K21" s="14" t="str">
        <x:v>源文件导入；部分来源时钟按交易时段和源行号映射，未将技术时间处理当作研究计算。</x:v>
      </x:c>
      <x:c r="L21" s="14" t="str">
        <x:v>项目 StockMinuteBar 模型及分钟导入合同；实库 tables()</x:v>
      </x:c>
    </x:row>
    <x:row r="22" ht="45" customHeight="1">
      <x:c r="A22" s="2" t="str">
        <x:v>A股及国内配套</x:v>
      </x:c>
      <x:c r="B22" s="14" t="str">
        <x:v>国内宏观/利率/汇率</x:v>
      </x:c>
      <x:c r="C22" s="14" t="str">
        <x:v>采集</x:v>
      </x:c>
      <x:c r="D22" s="14" t="str">
        <x:v>cn_bond_yield_curve</x:v>
      </x:c>
      <x:c r="E22" s="14" t="str">
        <x:v>表</x:v>
      </x:c>
      <x:c r="F22" s="14" t="str">
        <x:v>中国债券收益率曲线</x:v>
      </x:c>
      <x:c r="G22" s="14" t="str">
        <x:v>Tushare宏观/利率/汇率接口</x:v>
      </x:c>
      <x:c r="H22" s="14" t="str">
        <x:v>来源采集/文件导入</x:v>
      </x:c>
      <x:c r="I22" s="23" t="n">
        <x:v>96074</x:v>
      </x:c>
      <x:c r="J22" s="14" t="str">
        <x:v>存在</x:v>
      </x:c>
      <x:c r="K22" s="14" t="str">
        <x:v>归入A股研究的国内配套输入；不是股票行情。</x:v>
      </x:c>
      <x:c r="L22" s="14" t="str">
        <x:v>项目外部源合同及数据模型；实库 tables()</x:v>
      </x:c>
    </x:row>
    <x:row r="23" ht="45" customHeight="1">
      <x:c r="A23" s="2" t="str">
        <x:v>A股及国内配套</x:v>
      </x:c>
      <x:c r="B23" s="14" t="str">
        <x:v>国内宏观/利率/汇率</x:v>
      </x:c>
      <x:c r="C23" s="14" t="str">
        <x:v>采集</x:v>
      </x:c>
      <x:c r="D23" s="14" t="str">
        <x:v>cn_cpi</x:v>
      </x:c>
      <x:c r="E23" s="14" t="str">
        <x:v>表</x:v>
      </x:c>
      <x:c r="F23" s="14" t="str">
        <x:v>居民消费价格指数</x:v>
      </x:c>
      <x:c r="G23" s="14" t="str">
        <x:v>Tushare宏观/利率/汇率接口</x:v>
      </x:c>
      <x:c r="H23" s="14" t="str">
        <x:v>来源采集/文件导入</x:v>
      </x:c>
      <x:c r="I23" s="23" t="n">
        <x:v>200</x:v>
      </x:c>
      <x:c r="J23" s="14" t="str">
        <x:v>存在</x:v>
      </x:c>
      <x:c r="K23" s="14" t="str">
        <x:v>归入A股研究的国内配套输入；不是股票行情。</x:v>
      </x:c>
      <x:c r="L23" s="14" t="str">
        <x:v>项目外部源合同及数据模型；实库 tables()</x:v>
      </x:c>
    </x:row>
    <x:row r="24" ht="45" customHeight="1">
      <x:c r="A24" s="2" t="str">
        <x:v>A股及国内配套</x:v>
      </x:c>
      <x:c r="B24" s="14" t="str">
        <x:v>国内宏观/利率/汇率</x:v>
      </x:c>
      <x:c r="C24" s="14" t="str">
        <x:v>采集</x:v>
      </x:c>
      <x:c r="D24" s="14" t="str">
        <x:v>cn_gdp</x:v>
      </x:c>
      <x:c r="E24" s="14" t="str">
        <x:v>表</x:v>
      </x:c>
      <x:c r="F24" s="14" t="str">
        <x:v>国内生产总值</x:v>
      </x:c>
      <x:c r="G24" s="14" t="str">
        <x:v>Tushare宏观/利率/汇率接口</x:v>
      </x:c>
      <x:c r="H24" s="14" t="str">
        <x:v>来源采集/文件导入</x:v>
      </x:c>
      <x:c r="I24" s="23" t="n">
        <x:v>66</x:v>
      </x:c>
      <x:c r="J24" s="14" t="str">
        <x:v>存在</x:v>
      </x:c>
      <x:c r="K24" s="14" t="str">
        <x:v>归入A股研究的国内配套输入；不是股票行情。</x:v>
      </x:c>
      <x:c r="L24" s="14" t="str">
        <x:v>项目外部源合同及数据模型；实库 tables()</x:v>
      </x:c>
    </x:row>
    <x:row r="25" ht="45" customHeight="1">
      <x:c r="A25" s="2" t="str">
        <x:v>A股及国内配套</x:v>
      </x:c>
      <x:c r="B25" s="14" t="str">
        <x:v>国内宏观/利率/汇率</x:v>
      </x:c>
      <x:c r="C25" s="14" t="str">
        <x:v>采集</x:v>
      </x:c>
      <x:c r="D25" s="14" t="str">
        <x:v>cn_m</x:v>
      </x:c>
      <x:c r="E25" s="14" t="str">
        <x:v>表</x:v>
      </x:c>
      <x:c r="F25" s="14" t="str">
        <x:v>货币供应量</x:v>
      </x:c>
      <x:c r="G25" s="14" t="str">
        <x:v>Tushare宏观/利率/汇率接口</x:v>
      </x:c>
      <x:c r="H25" s="14" t="str">
        <x:v>来源采集/文件导入</x:v>
      </x:c>
      <x:c r="I25" s="23" t="n">
        <x:v>200</x:v>
      </x:c>
      <x:c r="J25" s="14" t="str">
        <x:v>存在</x:v>
      </x:c>
      <x:c r="K25" s="14" t="str">
        <x:v>归入A股研究的国内配套输入；不是股票行情。</x:v>
      </x:c>
      <x:c r="L25" s="14" t="str">
        <x:v>项目外部源合同及数据模型；实库 tables()</x:v>
      </x:c>
    </x:row>
    <x:row r="26" ht="45" customHeight="1">
      <x:c r="A26" s="2" t="str">
        <x:v>A股及国内配套</x:v>
      </x:c>
      <x:c r="B26" s="14" t="str">
        <x:v>国内宏观/利率/汇率</x:v>
      </x:c>
      <x:c r="C26" s="14" t="str">
        <x:v>采集</x:v>
      </x:c>
      <x:c r="D26" s="14" t="str">
        <x:v>cn_pmi</x:v>
      </x:c>
      <x:c r="E26" s="14" t="str">
        <x:v>表</x:v>
      </x:c>
      <x:c r="F26" s="14" t="str">
        <x:v>采购经理人指数</x:v>
      </x:c>
      <x:c r="G26" s="14" t="str">
        <x:v>Tushare宏观/利率/汇率接口</x:v>
      </x:c>
      <x:c r="H26" s="14" t="str">
        <x:v>来源采集/文件导入</x:v>
      </x:c>
      <x:c r="I26" s="23" t="n">
        <x:v>200</x:v>
      </x:c>
      <x:c r="J26" s="14" t="str">
        <x:v>存在</x:v>
      </x:c>
      <x:c r="K26" s="14" t="str">
        <x:v>归入A股研究的国内配套输入；不是股票行情。</x:v>
      </x:c>
      <x:c r="L26" s="14" t="str">
        <x:v>项目外部源合同及数据模型；实库 tables()</x:v>
      </x:c>
    </x:row>
    <x:row r="27" ht="45" customHeight="1">
      <x:c r="A27" s="2" t="str">
        <x:v>A股及国内配套</x:v>
      </x:c>
      <x:c r="B27" s="14" t="str">
        <x:v>国内宏观/利率/汇率</x:v>
      </x:c>
      <x:c r="C27" s="14" t="str">
        <x:v>采集</x:v>
      </x:c>
      <x:c r="D27" s="14" t="str">
        <x:v>cn_ppi</x:v>
      </x:c>
      <x:c r="E27" s="14" t="str">
        <x:v>表</x:v>
      </x:c>
      <x:c r="F27" s="14" t="str">
        <x:v>工业生产者出厂价格指数</x:v>
      </x:c>
      <x:c r="G27" s="14" t="str">
        <x:v>Tushare宏观/利率/汇率接口</x:v>
      </x:c>
      <x:c r="H27" s="14" t="str">
        <x:v>来源采集/文件导入</x:v>
      </x:c>
      <x:c r="I27" s="23" t="n">
        <x:v>200</x:v>
      </x:c>
      <x:c r="J27" s="14" t="str">
        <x:v>存在</x:v>
      </x:c>
      <x:c r="K27" s="14" t="str">
        <x:v>归入A股研究的国内配套输入；不是股票行情。</x:v>
      </x:c>
      <x:c r="L27" s="14" t="str">
        <x:v>项目外部源合同及数据模型；实库 tables()</x:v>
      </x:c>
    </x:row>
    <x:row r="28" ht="45" customHeight="1">
      <x:c r="A28" s="2" t="str">
        <x:v>A股及国内配套</x:v>
      </x:c>
      <x:c r="B28" s="14" t="str">
        <x:v>国内宏观/利率/汇率</x:v>
      </x:c>
      <x:c r="C28" s="14" t="str">
        <x:v>采集</x:v>
      </x:c>
      <x:c r="D28" s="14" t="str">
        <x:v>hibor</x:v>
      </x:c>
      <x:c r="E28" s="14" t="str">
        <x:v>表</x:v>
      </x:c>
      <x:c r="F28" s="14" t="str">
        <x:v>香港银行同业拆借利率</x:v>
      </x:c>
      <x:c r="G28" s="14" t="str">
        <x:v>Tushare宏观/利率/汇率接口</x:v>
      </x:c>
      <x:c r="H28" s="14" t="str">
        <x:v>来源采集/文件导入</x:v>
      </x:c>
      <x:c r="I28" s="23" t="n">
        <x:v>2138</x:v>
      </x:c>
      <x:c r="J28" s="14" t="str">
        <x:v>存在</x:v>
      </x:c>
      <x:c r="K28" s="14" t="str">
        <x:v>归入A股研究的国内配套输入；不是股票行情。</x:v>
      </x:c>
      <x:c r="L28" s="14" t="str">
        <x:v>项目外部源合同及数据模型；实库 tables()</x:v>
      </x:c>
    </x:row>
    <x:row r="29" ht="45" customHeight="1">
      <x:c r="A29" s="2" t="str">
        <x:v>A股及国内配套</x:v>
      </x:c>
      <x:c r="B29" s="14" t="str">
        <x:v>国内宏观/利率/汇率</x:v>
      </x:c>
      <x:c r="C29" s="14" t="str">
        <x:v>采集</x:v>
      </x:c>
      <x:c r="D29" s="14" t="str">
        <x:v>rmb_index_daily</x:v>
      </x:c>
      <x:c r="E29" s="14" t="str">
        <x:v>表</x:v>
      </x:c>
      <x:c r="F29" s="14" t="str">
        <x:v>人民币篮子指数</x:v>
      </x:c>
      <x:c r="G29" s="14" t="str">
        <x:v>Tushare宏观/利率/汇率接口</x:v>
      </x:c>
      <x:c r="H29" s="14" t="str">
        <x:v>来源采集/文件导入</x:v>
      </x:c>
      <x:c r="I29" s="23" t="n">
        <x:v>4413</x:v>
      </x:c>
      <x:c r="J29" s="14" t="str">
        <x:v>存在</x:v>
      </x:c>
      <x:c r="K29" s="14" t="str">
        <x:v>归入A股研究的国内配套输入；不是股票行情。</x:v>
      </x:c>
      <x:c r="L29" s="14" t="str">
        <x:v>项目外部源合同及数据模型；实库 tables()</x:v>
      </x:c>
    </x:row>
    <x:row r="30" ht="45" customHeight="1">
      <x:c r="A30" s="2" t="str">
        <x:v>A股及国内配套</x:v>
      </x:c>
      <x:c r="B30" s="14" t="str">
        <x:v>国内宏观/利率/汇率</x:v>
      </x:c>
      <x:c r="C30" s="14" t="str">
        <x:v>采集</x:v>
      </x:c>
      <x:c r="D30" s="14" t="str">
        <x:v>sf_month</x:v>
      </x:c>
      <x:c r="E30" s="14" t="str">
        <x:v>表</x:v>
      </x:c>
      <x:c r="F30" s="14" t="str">
        <x:v>社会融资规模</x:v>
      </x:c>
      <x:c r="G30" s="14" t="str">
        <x:v>Tushare宏观/利率/汇率接口</x:v>
      </x:c>
      <x:c r="H30" s="14" t="str">
        <x:v>来源采集/文件导入</x:v>
      </x:c>
      <x:c r="I30" s="23" t="n">
        <x:v>200</x:v>
      </x:c>
      <x:c r="J30" s="14" t="str">
        <x:v>存在</x:v>
      </x:c>
      <x:c r="K30" s="14" t="str">
        <x:v>归入A股研究的国内配套输入；不是股票行情。</x:v>
      </x:c>
      <x:c r="L30" s="14" t="str">
        <x:v>项目外部源合同及数据模型；实库 tables()</x:v>
      </x:c>
    </x:row>
    <x:row r="31" ht="45" customHeight="1">
      <x:c r="A31" s="2" t="str">
        <x:v>A股及国内配套</x:v>
      </x:c>
      <x:c r="B31" s="14" t="str">
        <x:v>国内宏观/利率/汇率</x:v>
      </x:c>
      <x:c r="C31" s="14" t="str">
        <x:v>采集</x:v>
      </x:c>
      <x:c r="D31" s="14" t="str">
        <x:v>shibor</x:v>
      </x:c>
      <x:c r="E31" s="14" t="str">
        <x:v>表</x:v>
      </x:c>
      <x:c r="F31" s="14" t="str">
        <x:v>上海银行间同业拆借利率</x:v>
      </x:c>
      <x:c r="G31" s="14" t="str">
        <x:v>Tushare宏观/利率/汇率接口</x:v>
      </x:c>
      <x:c r="H31" s="14" t="str">
        <x:v>来源采集/文件导入</x:v>
      </x:c>
      <x:c r="I31" s="23" t="n">
        <x:v>4119</x:v>
      </x:c>
      <x:c r="J31" s="14" t="str">
        <x:v>存在</x:v>
      </x:c>
      <x:c r="K31" s="14" t="str">
        <x:v>归入A股研究的国内配套输入；不是股票行情。</x:v>
      </x:c>
      <x:c r="L31" s="14" t="str">
        <x:v>项目外部源合同及数据模型；实库 tables()</x:v>
      </x:c>
    </x:row>
    <x:row r="32" ht="45" customHeight="1">
      <x:c r="A32" s="2" t="str">
        <x:v>A股及国内配套</x:v>
      </x:c>
      <x:c r="B32" s="14" t="str">
        <x:v>国内宏观/利率/汇率</x:v>
      </x:c>
      <x:c r="C32" s="14" t="str">
        <x:v>采集</x:v>
      </x:c>
      <x:c r="D32" s="14" t="str">
        <x:v>shibor_lpr</x:v>
      </x:c>
      <x:c r="E32" s="14" t="str">
        <x:v>表</x:v>
      </x:c>
      <x:c r="F32" s="14" t="str">
        <x:v>贷款市场报价利率</x:v>
      </x:c>
      <x:c r="G32" s="14" t="str">
        <x:v>Tushare宏观/利率/汇率接口</x:v>
      </x:c>
      <x:c r="H32" s="14" t="str">
        <x:v>来源采集/文件导入</x:v>
      </x:c>
      <x:c r="I32" s="23" t="n">
        <x:v>1532</x:v>
      </x:c>
      <x:c r="J32" s="14" t="str">
        <x:v>存在</x:v>
      </x:c>
      <x:c r="K32" s="14" t="str">
        <x:v>归入A股研究的国内配套输入；不是股票行情。</x:v>
      </x:c>
      <x:c r="L32" s="14" t="str">
        <x:v>项目外部源合同及数据模型；实库 tables()</x:v>
      </x:c>
    </x:row>
    <x:row r="33" ht="45" customHeight="1">
      <x:c r="A33" s="2" t="str">
        <x:v>A股及国内配套</x:v>
      </x:c>
      <x:c r="B33" s="14" t="str">
        <x:v>实时Level2行情</x:v>
      </x:c>
      <x:c r="C33" s="14" t="str">
        <x:v>采集</x:v>
      </x:c>
      <x:c r="D33" s="14" t="str">
        <x:v>l2_live_normalized_events</x:v>
      </x:c>
      <x:c r="E33" s="14" t="str">
        <x:v>表</x:v>
      </x:c>
      <x:c r="F33" s="14" t="str">
        <x:v>采集行情报文解析后的标准化L2事件</x:v>
      </x:c>
      <x:c r="G33" s="14" t="str">
        <x:v>实时Level2外部行情流</x:v>
      </x:c>
      <x:c r="H33" s="14" t="str">
        <x:v>来源采集/文件导入</x:v>
      </x:c>
      <x:c r="I33" s="23" t="n">
        <x:v>26531701</x:v>
      </x:c>
      <x:c r="J33" s="14" t="str">
        <x:v>存在</x:v>
      </x:c>
      <x:c r="K33" s="14" t="str">
        <x:v>属于已采集历史。新实时链路已改为本地日志，不能据此认定此表仍持续写入。</x:v>
      </x:c>
      <x:c r="L33" s="14" t="str">
        <x:v>项目 L2LiveNormalizedEvent 模型；实库 tables()</x:v>
      </x:c>
    </x:row>
    <x:row r="34" ht="45" customHeight="1">
      <x:c r="A34" s="2" t="str">
        <x:v>A股及国内配套</x:v>
      </x:c>
      <x:c r="B34" s="14" t="str">
        <x:v>指数/行业/概念</x:v>
      </x:c>
      <x:c r="C34" s="14" t="str">
        <x:v>采集</x:v>
      </x:c>
      <x:c r="D34" s="14" t="str">
        <x:v>dc_index</x:v>
      </x:c>
      <x:c r="E34" s="14" t="str">
        <x:v>表</x:v>
      </x:c>
      <x:c r="F34" s="14" t="str">
        <x:v>东方财富概念板块</x:v>
      </x:c>
      <x:c r="G34" s="14" t="str">
        <x:v>Tushare指数/行业/概念接口</x:v>
      </x:c>
      <x:c r="H34" s="14" t="str">
        <x:v>来源采集/文件导入</x:v>
      </x:c>
      <x:c r="I34" s="23" t="n">
        <x:v>186622</x:v>
      </x:c>
      <x:c r="J34" s="14" t="str">
        <x:v>存在</x:v>
      </x:c>
      <x:c r="K34" s="14" t="str"/>
      <x:c r="L34" s="14" t="str">
        <x:v>项目外部源合同及数据模型；实库 tables()</x:v>
      </x:c>
    </x:row>
    <x:row r="35" ht="45" customHeight="1">
      <x:c r="A35" s="2" t="str">
        <x:v>A股及国内配套</x:v>
      </x:c>
      <x:c r="B35" s="14" t="str">
        <x:v>指数/行业/概念</x:v>
      </x:c>
      <x:c r="C35" s="14" t="str">
        <x:v>采集</x:v>
      </x:c>
      <x:c r="D35" s="14" t="str">
        <x:v>index</x:v>
      </x:c>
      <x:c r="E35" s="14" t="str">
        <x:v>表</x:v>
      </x:c>
      <x:c r="F35" s="14" t="str">
        <x:v>指数目录、基本信息及导入快照</x:v>
      </x:c>
      <x:c r="G35" s="14" t="str">
        <x:v>外部指数目录CSV文件</x:v>
      </x:c>
      <x:c r="H35" s="14" t="str">
        <x:v>来源采集/文件导入</x:v>
      </x:c>
      <x:c r="I35" s="23" t="n">
        <x:v>2274</x:v>
      </x:c>
      <x:c r="J35" s="14" t="str">
        <x:v>存在</x:v>
      </x:c>
      <x:c r="K35" s="14" t="str">
        <x:v>目录数据包括不同资产类别；文件导入及目录整合不等于研究指标计算。</x:v>
      </x:c>
      <x:c r="L35" s="14" t="str">
        <x:v>Java IndexCatalogDataset：historical.index_catalog_csv；实库抽样</x:v>
      </x:c>
    </x:row>
    <x:row r="36" ht="45" customHeight="1">
      <x:c r="A36" s="2" t="str">
        <x:v>A股及国内配套</x:v>
      </x:c>
      <x:c r="B36" s="14" t="str">
        <x:v>指数/行业/概念</x:v>
      </x:c>
      <x:c r="C36" s="14" t="str">
        <x:v>采集</x:v>
      </x:c>
      <x:c r="D36" s="14" t="str">
        <x:v>index_daily_basic</x:v>
      </x:c>
      <x:c r="E36" s="14" t="str">
        <x:v>表</x:v>
      </x:c>
      <x:c r="F36" s="14" t="str">
        <x:v>指数每日估值等指标</x:v>
      </x:c>
      <x:c r="G36" s="14" t="str">
        <x:v>Tushare指数/行业/概念接口</x:v>
      </x:c>
      <x:c r="H36" s="14" t="str">
        <x:v>来源采集/文件导入</x:v>
      </x:c>
      <x:c r="I36" s="23" t="n">
        <x:v>42588</x:v>
      </x:c>
      <x:c r="J36" s="14" t="str">
        <x:v>存在</x:v>
      </x:c>
      <x:c r="K36" s="14" t="str"/>
      <x:c r="L36" s="14" t="str">
        <x:v>项目外部源合同及数据模型；实库 tables()</x:v>
      </x:c>
    </x:row>
    <x:row r="37" ht="45" customHeight="1">
      <x:c r="A37" s="2" t="str">
        <x:v>A股及国内配套</x:v>
      </x:c>
      <x:c r="B37" s="14" t="str">
        <x:v>指数/行业/概念</x:v>
      </x:c>
      <x:c r="C37" s="14" t="str">
        <x:v>采集</x:v>
      </x:c>
      <x:c r="D37" s="14" t="str">
        <x:v>index_daily_market</x:v>
      </x:c>
      <x:c r="E37" s="14" t="str">
        <x:v>表</x:v>
      </x:c>
      <x:c r="F37" s="14" t="str">
        <x:v>核心现货指数日行情</x:v>
      </x:c>
      <x:c r="G37" s="14" t="str">
        <x:v>Tushare指数/行业/概念接口</x:v>
      </x:c>
      <x:c r="H37" s="14" t="str">
        <x:v>来源采集/文件导入</x:v>
      </x:c>
      <x:c r="I37" s="23" t="n">
        <x:v>234292</x:v>
      </x:c>
      <x:c r="J37" s="14" t="str">
        <x:v>存在</x:v>
      </x:c>
      <x:c r="K37" s="14" t="str"/>
      <x:c r="L37" s="14" t="str">
        <x:v>项目外部源合同及数据模型；实库 tables()</x:v>
      </x:c>
    </x:row>
    <x:row r="38" ht="45" customHeight="1">
      <x:c r="A38" s="2" t="str">
        <x:v>A股及国内配套</x:v>
      </x:c>
      <x:c r="B38" s="14" t="str">
        <x:v>指数/行业/概念</x:v>
      </x:c>
      <x:c r="C38" s="14" t="str">
        <x:v>采集</x:v>
      </x:c>
      <x:c r="D38" s="14" t="str">
        <x:v>index_member</x:v>
      </x:c>
      <x:c r="E38" s="14" t="str">
        <x:v>表</x:v>
      </x:c>
      <x:c r="F38" s="14" t="str">
        <x:v>指数/行业成分及归属区间</x:v>
      </x:c>
      <x:c r="G38" s="14" t="str">
        <x:v>Tushare指数/行业/概念接口</x:v>
      </x:c>
      <x:c r="H38" s="14" t="str">
        <x:v>来源采集/文件导入</x:v>
      </x:c>
      <x:c r="I38" s="23" t="n">
        <x:v>5902</x:v>
      </x:c>
      <x:c r="J38" s="14" t="str">
        <x:v>存在</x:v>
      </x:c>
      <x:c r="K38" s="14" t="str"/>
      <x:c r="L38" s="14" t="str">
        <x:v>项目外部源合同及数据模型；实库 tables()</x:v>
      </x:c>
    </x:row>
    <x:row r="39" ht="45" customHeight="1">
      <x:c r="A39" s="2" t="str">
        <x:v>A股及国内配套</x:v>
      </x:c>
      <x:c r="B39" s="14" t="str">
        <x:v>指数/行业/概念</x:v>
      </x:c>
      <x:c r="C39" s="14" t="str">
        <x:v>采集</x:v>
      </x:c>
      <x:c r="D39" s="14" t="str">
        <x:v>index_monthly</x:v>
      </x:c>
      <x:c r="E39" s="14" t="str">
        <x:v>表</x:v>
      </x:c>
      <x:c r="F39" s="14" t="str">
        <x:v>来源提供的指数月线及研究池标签</x:v>
      </x:c>
      <x:c r="G39" s="14" t="str">
        <x:v>Tushare指数/行业/概念接口</x:v>
      </x:c>
      <x:c r="H39" s="14" t="str">
        <x:v>来源采集/文件导入</x:v>
      </x:c>
      <x:c r="I39" s="23" t="n">
        <x:v>6506</x:v>
      </x:c>
      <x:c r="J39" s="14" t="str">
        <x:v>存在</x:v>
      </x:c>
      <x:c r="K39" s="14" t="str"/>
      <x:c r="L39" s="14" t="str">
        <x:v>项目外部源合同及数据模型；实库 tables()</x:v>
      </x:c>
    </x:row>
    <x:row r="40" ht="45" customHeight="1">
      <x:c r="A40" s="2" t="str">
        <x:v>A股及国内配套</x:v>
      </x:c>
      <x:c r="B40" s="14" t="str">
        <x:v>指数/行业/概念</x:v>
      </x:c>
      <x:c r="C40" s="14" t="str">
        <x:v>采集</x:v>
      </x:c>
      <x:c r="D40" s="14" t="str">
        <x:v>index_weight</x:v>
      </x:c>
      <x:c r="E40" s="14" t="str">
        <x:v>表</x:v>
      </x:c>
      <x:c r="F40" s="14" t="str">
        <x:v>指数成分权重</x:v>
      </x:c>
      <x:c r="G40" s="14" t="str">
        <x:v>Tushare指数/行业/概念接口</x:v>
      </x:c>
      <x:c r="H40" s="14" t="str">
        <x:v>来源采集/文件导入</x:v>
      </x:c>
      <x:c r="I40" s="23" t="n">
        <x:v>261221</x:v>
      </x:c>
      <x:c r="J40" s="14" t="str">
        <x:v>存在</x:v>
      </x:c>
      <x:c r="K40" s="14" t="str"/>
      <x:c r="L40" s="14" t="str">
        <x:v>项目外部源合同及数据模型；实库 tables()</x:v>
      </x:c>
    </x:row>
    <x:row r="41" ht="45" customHeight="1">
      <x:c r="A41" s="2" t="str">
        <x:v>A股及国内配套</x:v>
      </x:c>
      <x:c r="B41" s="14" t="str">
        <x:v>指数/行业/概念</x:v>
      </x:c>
      <x:c r="C41" s="14" t="str">
        <x:v>采集</x:v>
      </x:c>
      <x:c r="D41" s="14" t="str">
        <x:v>ths_index</x:v>
      </x:c>
      <x:c r="E41" s="14" t="str">
        <x:v>表</x:v>
      </x:c>
      <x:c r="F41" s="14" t="str">
        <x:v>同花顺行业/概念指数目录</x:v>
      </x:c>
      <x:c r="G41" s="14" t="str">
        <x:v>Tushare指数/行业/概念接口</x:v>
      </x:c>
      <x:c r="H41" s="14" t="str">
        <x:v>来源采集/文件导入</x:v>
      </x:c>
      <x:c r="I41" s="23" t="n">
        <x:v>2517</x:v>
      </x:c>
      <x:c r="J41" s="14" t="str">
        <x:v>存在</x:v>
      </x:c>
      <x:c r="K41" s="14" t="str"/>
      <x:c r="L41" s="14" t="str">
        <x:v>项目外部源合同及数据模型；实库 tables()</x:v>
      </x:c>
    </x:row>
    <x:row r="42" ht="45" customHeight="1">
      <x:c r="A42" s="2" t="str">
        <x:v>A股及国内配套</x:v>
      </x:c>
      <x:c r="B42" s="14" t="str">
        <x:v>指数/行业/概念</x:v>
      </x:c>
      <x:c r="C42" s="14" t="str">
        <x:v>采集</x:v>
      </x:c>
      <x:c r="D42" s="14" t="str">
        <x:v>ths_member</x:v>
      </x:c>
      <x:c r="E42" s="14" t="str">
        <x:v>表</x:v>
      </x:c>
      <x:c r="F42" s="14" t="str">
        <x:v>同花顺板块成分</x:v>
      </x:c>
      <x:c r="G42" s="14" t="str">
        <x:v>Tushare指数/行业/概念接口</x:v>
      </x:c>
      <x:c r="H42" s="14" t="str">
        <x:v>来源采集/文件导入</x:v>
      </x:c>
      <x:c r="I42" s="23" t="n">
        <x:v>416612</x:v>
      </x:c>
      <x:c r="J42" s="14" t="str">
        <x:v>存在</x:v>
      </x:c>
      <x:c r="K42" s="14" t="str"/>
      <x:c r="L42" s="14" t="str">
        <x:v>项目外部源合同及数据模型；实库 tables()</x:v>
      </x:c>
    </x:row>
    <x:row r="43" ht="45" customHeight="1">
      <x:c r="A43" s="2" t="str">
        <x:v>A股及国内配套</x:v>
      </x:c>
      <x:c r="B43" s="14" t="str">
        <x:v>股东/事件/筹码</x:v>
      </x:c>
      <x:c r="C43" s="14" t="str">
        <x:v>采集</x:v>
      </x:c>
      <x:c r="D43" s="14" t="str">
        <x:v>block_trade</x:v>
      </x:c>
      <x:c r="E43" s="14" t="str">
        <x:v>表</x:v>
      </x:c>
      <x:c r="F43" s="14" t="str">
        <x:v>大宗交易</x:v>
      </x:c>
      <x:c r="G43" s="14" t="str">
        <x:v>Tushare同名数据接口</x:v>
      </x:c>
      <x:c r="H43" s="14" t="str">
        <x:v>来源采集/文件导入</x:v>
      </x:c>
      <x:c r="I43" s="23" t="n">
        <x:v>239985</x:v>
      </x:c>
      <x:c r="J43" s="14" t="str">
        <x:v>存在</x:v>
      </x:c>
      <x:c r="K43" s="14" t="str"/>
      <x:c r="L43" s="14" t="str">
        <x:v>项目外部源合同及数据模型；实库 tables()</x:v>
      </x:c>
    </x:row>
    <x:row r="44" ht="45" customHeight="1">
      <x:c r="A44" s="2" t="str">
        <x:v>A股及国内配套</x:v>
      </x:c>
      <x:c r="B44" s="14" t="str">
        <x:v>股东/事件/筹码</x:v>
      </x:c>
      <x:c r="C44" s="14" t="str">
        <x:v>采集</x:v>
      </x:c>
      <x:c r="D44" s="14" t="str">
        <x:v>broker_recommend</x:v>
      </x:c>
      <x:c r="E44" s="14" t="str">
        <x:v>表</x:v>
      </x:c>
      <x:c r="F44" s="14" t="str">
        <x:v>券商月度金股推荐</x:v>
      </x:c>
      <x:c r="G44" s="14" t="str">
        <x:v>Tushare同名数据接口</x:v>
      </x:c>
      <x:c r="H44" s="14" t="str">
        <x:v>来源采集/文件导入</x:v>
      </x:c>
      <x:c r="I44" s="23" t="n">
        <x:v>13696</x:v>
      </x:c>
      <x:c r="J44" s="14" t="str">
        <x:v>存在</x:v>
      </x:c>
      <x:c r="K44" s="14" t="str"/>
      <x:c r="L44" s="14" t="str">
        <x:v>项目外部源合同及数据模型；实库 tables()</x:v>
      </x:c>
    </x:row>
    <x:row r="45" ht="45" customHeight="1">
      <x:c r="A45" s="2" t="str">
        <x:v>A股及国内配套</x:v>
      </x:c>
      <x:c r="B45" s="14" t="str">
        <x:v>股东/事件/筹码</x:v>
      </x:c>
      <x:c r="C45" s="14" t="str">
        <x:v>采集</x:v>
      </x:c>
      <x:c r="D45" s="14" t="str">
        <x:v>cyq_chips</x:v>
      </x:c>
      <x:c r="E45" s="14" t="str">
        <x:v>表</x:v>
      </x:c>
      <x:c r="F45" s="14" t="str">
        <x:v>每日筹码分布</x:v>
      </x:c>
      <x:c r="G45" s="14" t="str">
        <x:v>Tushare同名数据接口</x:v>
      </x:c>
      <x:c r="H45" s="14" t="str">
        <x:v>来源采集/文件导入</x:v>
      </x:c>
      <x:c r="I45" s="23" t="n">
        <x:v>1090577</x:v>
      </x:c>
      <x:c r="J45" s="14" t="str">
        <x:v>存在</x:v>
      </x:c>
      <x:c r="K45" s="14" t="str"/>
      <x:c r="L45" s="14" t="str">
        <x:v>项目外部源合同及数据模型；实库 tables()</x:v>
      </x:c>
    </x:row>
    <x:row r="46" ht="45" customHeight="1">
      <x:c r="A46" s="2" t="str">
        <x:v>A股及国内配套</x:v>
      </x:c>
      <x:c r="B46" s="14" t="str">
        <x:v>股东/事件/筹码</x:v>
      </x:c>
      <x:c r="C46" s="14" t="str">
        <x:v>采集</x:v>
      </x:c>
      <x:c r="D46" s="14" t="str">
        <x:v>cyq_perf</x:v>
      </x:c>
      <x:c r="E46" s="14" t="str">
        <x:v>表</x:v>
      </x:c>
      <x:c r="F46" s="14" t="str">
        <x:v>筹码成本及胜率</x:v>
      </x:c>
      <x:c r="G46" s="14" t="str">
        <x:v>Tushare同名数据接口</x:v>
      </x:c>
      <x:c r="H46" s="14" t="str">
        <x:v>来源采集/文件导入</x:v>
      </x:c>
      <x:c r="I46" s="23" t="n">
        <x:v>9704106</x:v>
      </x:c>
      <x:c r="J46" s="14" t="str">
        <x:v>存在</x:v>
      </x:c>
      <x:c r="K46" s="14" t="str"/>
      <x:c r="L46" s="14" t="str">
        <x:v>项目外部源合同及数据模型；实库 tables()</x:v>
      </x:c>
    </x:row>
    <x:row r="47" ht="45" customHeight="1">
      <x:c r="A47" s="2" t="str">
        <x:v>A股及国内配套</x:v>
      </x:c>
      <x:c r="B47" s="14" t="str">
        <x:v>股东/事件/筹码</x:v>
      </x:c>
      <x:c r="C47" s="14" t="str">
        <x:v>采集</x:v>
      </x:c>
      <x:c r="D47" s="14" t="str">
        <x:v>pledge_stat</x:v>
      </x:c>
      <x:c r="E47" s="14" t="str">
        <x:v>表</x:v>
      </x:c>
      <x:c r="F47" s="14" t="str">
        <x:v>股权质押统计</x:v>
      </x:c>
      <x:c r="G47" s="14" t="str">
        <x:v>Tushare同名数据接口</x:v>
      </x:c>
      <x:c r="H47" s="14" t="str">
        <x:v>来源采集/文件导入</x:v>
      </x:c>
      <x:c r="I47" s="23" t="n">
        <x:v>1328794</x:v>
      </x:c>
      <x:c r="J47" s="14" t="str">
        <x:v>存在</x:v>
      </x:c>
      <x:c r="K47" s="14" t="str"/>
      <x:c r="L47" s="14" t="str">
        <x:v>项目外部源合同及数据模型；实库 tables()</x:v>
      </x:c>
    </x:row>
    <x:row r="48" ht="45" customHeight="1">
      <x:c r="A48" s="2" t="str">
        <x:v>A股及国内配套</x:v>
      </x:c>
      <x:c r="B48" s="14" t="str">
        <x:v>股东/事件/筹码</x:v>
      </x:c>
      <x:c r="C48" s="14" t="str">
        <x:v>采集</x:v>
      </x:c>
      <x:c r="D48" s="14" t="str">
        <x:v>repurchase</x:v>
      </x:c>
      <x:c r="E48" s="14" t="str">
        <x:v>表</x:v>
      </x:c>
      <x:c r="F48" s="14" t="str">
        <x:v>股票回购</x:v>
      </x:c>
      <x:c r="G48" s="14" t="str">
        <x:v>Tushare同名数据接口</x:v>
      </x:c>
      <x:c r="H48" s="14" t="str">
        <x:v>来源采集/文件导入</x:v>
      </x:c>
      <x:c r="I48" s="23" t="n">
        <x:v>64498</x:v>
      </x:c>
      <x:c r="J48" s="14" t="str">
        <x:v>存在</x:v>
      </x:c>
      <x:c r="K48" s="14" t="str"/>
      <x:c r="L48" s="14" t="str">
        <x:v>项目外部源合同及数据模型；实库 tables()</x:v>
      </x:c>
    </x:row>
    <x:row r="49" ht="45" customHeight="1">
      <x:c r="A49" s="2" t="str">
        <x:v>A股及国内配套</x:v>
      </x:c>
      <x:c r="B49" s="14" t="str">
        <x:v>股东/事件/筹码</x:v>
      </x:c>
      <x:c r="C49" s="14" t="str">
        <x:v>采集</x:v>
      </x:c>
      <x:c r="D49" s="14" t="str">
        <x:v>share_float</x:v>
      </x:c>
      <x:c r="E49" s="14" t="str">
        <x:v>表</x:v>
      </x:c>
      <x:c r="F49" s="14" t="str">
        <x:v>限售股解禁</x:v>
      </x:c>
      <x:c r="G49" s="14" t="str">
        <x:v>Tushare同名数据接口</x:v>
      </x:c>
      <x:c r="H49" s="14" t="str">
        <x:v>来源采集/文件导入</x:v>
      </x:c>
      <x:c r="I49" s="23" t="n">
        <x:v>5203572</x:v>
      </x:c>
      <x:c r="J49" s="14" t="str">
        <x:v>存在</x:v>
      </x:c>
      <x:c r="K49" s="14" t="str"/>
      <x:c r="L49" s="14" t="str">
        <x:v>项目外部源合同及数据模型；实库 tables()</x:v>
      </x:c>
    </x:row>
    <x:row r="50" ht="45" customHeight="1">
      <x:c r="A50" s="2" t="str">
        <x:v>A股及国内配套</x:v>
      </x:c>
      <x:c r="B50" s="14" t="str">
        <x:v>股东/事件/筹码</x:v>
      </x:c>
      <x:c r="C50" s="14" t="str">
        <x:v>采集</x:v>
      </x:c>
      <x:c r="D50" s="14" t="str">
        <x:v>stk_alert</x:v>
      </x:c>
      <x:c r="E50" s="14" t="str">
        <x:v>表</x:v>
      </x:c>
      <x:c r="F50" s="14" t="str">
        <x:v>交易所重点提示证券</x:v>
      </x:c>
      <x:c r="G50" s="14" t="str">
        <x:v>Tushare同名数据接口</x:v>
      </x:c>
      <x:c r="H50" s="14" t="str">
        <x:v>来源采集/文件导入</x:v>
      </x:c>
      <x:c r="I50" s="23" t="n">
        <x:v>233</x:v>
      </x:c>
      <x:c r="J50" s="14" t="str">
        <x:v>存在</x:v>
      </x:c>
      <x:c r="K50" s="14" t="str"/>
      <x:c r="L50" s="14" t="str">
        <x:v>项目外部源合同及数据模型；实库 tables()</x:v>
      </x:c>
    </x:row>
    <x:row r="51" ht="45" customHeight="1">
      <x:c r="A51" s="2" t="str">
        <x:v>A股及国内配套</x:v>
      </x:c>
      <x:c r="B51" s="14" t="str">
        <x:v>股东/事件/筹码</x:v>
      </x:c>
      <x:c r="C51" s="14" t="str">
        <x:v>采集</x:v>
      </x:c>
      <x:c r="D51" s="14" t="str">
        <x:v>stk_high_shock</x:v>
      </x:c>
      <x:c r="E51" s="14" t="str">
        <x:v>表</x:v>
      </x:c>
      <x:c r="F51" s="14" t="str">
        <x:v>个股严重异常波动公告</x:v>
      </x:c>
      <x:c r="G51" s="14" t="str">
        <x:v>Tushare同名数据接口</x:v>
      </x:c>
      <x:c r="H51" s="14" t="str">
        <x:v>来源采集/文件导入</x:v>
      </x:c>
      <x:c r="I51" s="23" t="n">
        <x:v>109</x:v>
      </x:c>
      <x:c r="J51" s="14" t="str">
        <x:v>存在</x:v>
      </x:c>
      <x:c r="K51" s="14" t="str"/>
      <x:c r="L51" s="14" t="str">
        <x:v>项目外部源合同及数据模型；实库 tables()</x:v>
      </x:c>
    </x:row>
    <x:row r="52" ht="45" customHeight="1">
      <x:c r="A52" s="2" t="str">
        <x:v>A股及国内配套</x:v>
      </x:c>
      <x:c r="B52" s="14" t="str">
        <x:v>股东/事件/筹码</x:v>
      </x:c>
      <x:c r="C52" s="14" t="str">
        <x:v>采集</x:v>
      </x:c>
      <x:c r="D52" s="14" t="str">
        <x:v>stk_holdernumber</x:v>
      </x:c>
      <x:c r="E52" s="14" t="str">
        <x:v>表</x:v>
      </x:c>
      <x:c r="F52" s="14" t="str">
        <x:v>股东户数</x:v>
      </x:c>
      <x:c r="G52" s="14" t="str">
        <x:v>Tushare同名数据接口</x:v>
      </x:c>
      <x:c r="H52" s="14" t="str">
        <x:v>来源采集/文件导入</x:v>
      </x:c>
      <x:c r="I52" s="23" t="n">
        <x:v>365062</x:v>
      </x:c>
      <x:c r="J52" s="14" t="str">
        <x:v>存在</x:v>
      </x:c>
      <x:c r="K52" s="14" t="str"/>
      <x:c r="L52" s="14" t="str">
        <x:v>项目外部源合同及数据模型；实库 tables()</x:v>
      </x:c>
    </x:row>
    <x:row r="53" ht="45" customHeight="1">
      <x:c r="A53" s="2" t="str">
        <x:v>A股及国内配套</x:v>
      </x:c>
      <x:c r="B53" s="14" t="str">
        <x:v>股东/事件/筹码</x:v>
      </x:c>
      <x:c r="C53" s="14" t="str">
        <x:v>采集</x:v>
      </x:c>
      <x:c r="D53" s="14" t="str">
        <x:v>stk_holdertrade</x:v>
      </x:c>
      <x:c r="E53" s="14" t="str">
        <x:v>表</x:v>
      </x:c>
      <x:c r="F53" s="14" t="str">
        <x:v>股东增减持</x:v>
      </x:c>
      <x:c r="G53" s="14" t="str">
        <x:v>Tushare同名数据接口</x:v>
      </x:c>
      <x:c r="H53" s="14" t="str">
        <x:v>来源采集/文件导入</x:v>
      </x:c>
      <x:c r="I53" s="23" t="n">
        <x:v>83397</x:v>
      </x:c>
      <x:c r="J53" s="14" t="str">
        <x:v>存在</x:v>
      </x:c>
      <x:c r="K53" s="14" t="str"/>
      <x:c r="L53" s="14" t="str">
        <x:v>项目外部源合同及数据模型；实库 tables()</x:v>
      </x:c>
    </x:row>
    <x:row r="54" ht="45" customHeight="1">
      <x:c r="A54" s="2" t="str">
        <x:v>A股及国内配套</x:v>
      </x:c>
      <x:c r="B54" s="14" t="str">
        <x:v>股东/事件/筹码</x:v>
      </x:c>
      <x:c r="C54" s="14" t="str">
        <x:v>采集</x:v>
      </x:c>
      <x:c r="D54" s="14" t="str">
        <x:v>stk_shock</x:v>
      </x:c>
      <x:c r="E54" s="14" t="str">
        <x:v>表</x:v>
      </x:c>
      <x:c r="F54" s="14" t="str">
        <x:v>个股异常波动公告</x:v>
      </x:c>
      <x:c r="G54" s="14" t="str">
        <x:v>Tushare同名数据接口</x:v>
      </x:c>
      <x:c r="H54" s="14" t="str">
        <x:v>来源采集/文件导入</x:v>
      </x:c>
      <x:c r="I54" s="23" t="n">
        <x:v>2757</x:v>
      </x:c>
      <x:c r="J54" s="14" t="str">
        <x:v>存在</x:v>
      </x:c>
      <x:c r="K54" s="14" t="str"/>
      <x:c r="L54" s="14" t="str">
        <x:v>项目外部源合同及数据模型；实库 tables()</x:v>
      </x:c>
    </x:row>
    <x:row r="55" ht="45" customHeight="1">
      <x:c r="A55" s="2" t="str">
        <x:v>A股及国内配套</x:v>
      </x:c>
      <x:c r="B55" s="14" t="str">
        <x:v>股指期货</x:v>
      </x:c>
      <x:c r="C55" s="14" t="str">
        <x:v>采集</x:v>
      </x:c>
      <x:c r="D55" s="14" t="str">
        <x:v>ft_limit</x:v>
      </x:c>
      <x:c r="E55" s="14" t="str">
        <x:v>表</x:v>
      </x:c>
      <x:c r="F55" s="14" t="str">
        <x:v>期货涨跌停及最低保证金率</x:v>
      </x:c>
      <x:c r="G55" s="14" t="str">
        <x:v>Tushare期货接口</x:v>
      </x:c>
      <x:c r="H55" s="14" t="str">
        <x:v>来源采集/文件导入</x:v>
      </x:c>
      <x:c r="I55" s="23" t="n">
        <x:v>2128</x:v>
      </x:c>
      <x:c r="J55" s="14" t="str">
        <x:v>存在</x:v>
      </x:c>
      <x:c r="K55" s="14" t="str">
        <x:v>国内股指期货配套数据，非A股股票。</x:v>
      </x:c>
      <x:c r="L55" s="14" t="str">
        <x:v>项目外部源合同及数据模型；实库 tables()</x:v>
      </x:c>
    </x:row>
    <x:row r="56" ht="45" customHeight="1">
      <x:c r="A56" s="2" t="str">
        <x:v>A股及国内配套</x:v>
      </x:c>
      <x:c r="B56" s="14" t="str">
        <x:v>股指期货</x:v>
      </x:c>
      <x:c r="C56" s="14" t="str">
        <x:v>采集</x:v>
      </x:c>
      <x:c r="D56" s="14" t="str">
        <x:v>fut_basic</x:v>
      </x:c>
      <x:c r="E56" s="14" t="str">
        <x:v>表</x:v>
      </x:c>
      <x:c r="F56" s="14" t="str">
        <x:v>期货合约资料</x:v>
      </x:c>
      <x:c r="G56" s="14" t="str">
        <x:v>Tushare期货接口</x:v>
      </x:c>
      <x:c r="H56" s="14" t="str">
        <x:v>来源采集/文件导入</x:v>
      </x:c>
      <x:c r="I56" s="23" t="n">
        <x:v>720</x:v>
      </x:c>
      <x:c r="J56" s="14" t="str">
        <x:v>存在</x:v>
      </x:c>
      <x:c r="K56" s="14" t="str">
        <x:v>国内股指期货配套数据，非A股股票。</x:v>
      </x:c>
      <x:c r="L56" s="14" t="str">
        <x:v>项目外部源合同及数据模型；实库 tables()</x:v>
      </x:c>
    </x:row>
    <x:row r="57" ht="45" customHeight="1">
      <x:c r="A57" s="2" t="str">
        <x:v>A股及国内配套</x:v>
      </x:c>
      <x:c r="B57" s="14" t="str">
        <x:v>股指期货</x:v>
      </x:c>
      <x:c r="C57" s="14" t="str">
        <x:v>采集</x:v>
      </x:c>
      <x:c r="D57" s="14" t="str">
        <x:v>fut_daily</x:v>
      </x:c>
      <x:c r="E57" s="14" t="str">
        <x:v>表</x:v>
      </x:c>
      <x:c r="F57" s="14" t="str">
        <x:v>期货日行情</x:v>
      </x:c>
      <x:c r="G57" s="14" t="str">
        <x:v>Tushare期货接口</x:v>
      </x:c>
      <x:c r="H57" s="14" t="str">
        <x:v>来源采集/文件导入</x:v>
      </x:c>
      <x:c r="I57" s="23" t="n">
        <x:v>4712</x:v>
      </x:c>
      <x:c r="J57" s="14" t="str">
        <x:v>存在</x:v>
      </x:c>
      <x:c r="K57" s="14" t="str">
        <x:v>国内股指期货配套数据，非A股股票。</x:v>
      </x:c>
      <x:c r="L57" s="14" t="str">
        <x:v>项目外部源合同及数据模型；实库 tables()</x:v>
      </x:c>
    </x:row>
    <x:row r="58" ht="45" customHeight="1">
      <x:c r="A58" s="2" t="str">
        <x:v>A股及国内配套</x:v>
      </x:c>
      <x:c r="B58" s="14" t="str">
        <x:v>股指期货</x:v>
      </x:c>
      <x:c r="C58" s="14" t="str">
        <x:v>采集</x:v>
      </x:c>
      <x:c r="D58" s="14" t="str">
        <x:v>fut_holding</x:v>
      </x:c>
      <x:c r="E58" s="14" t="str">
        <x:v>表</x:v>
      </x:c>
      <x:c r="F58" s="14" t="str">
        <x:v>期货持仓排名</x:v>
      </x:c>
      <x:c r="G58" s="14" t="str">
        <x:v>Tushare期货接口</x:v>
      </x:c>
      <x:c r="H58" s="14" t="str">
        <x:v>来源采集/文件导入</x:v>
      </x:c>
      <x:c r="I58" s="23" t="n">
        <x:v>56692</x:v>
      </x:c>
      <x:c r="J58" s="14" t="str">
        <x:v>存在</x:v>
      </x:c>
      <x:c r="K58" s="14" t="str">
        <x:v>国内股指期货配套数据，非A股股票。</x:v>
      </x:c>
      <x:c r="L58" s="14" t="str">
        <x:v>项目外部源合同及数据模型；实库 tables()</x:v>
      </x:c>
    </x:row>
    <x:row r="59" ht="45" customHeight="1">
      <x:c r="A59" s="2" t="str">
        <x:v>A股及国内配套</x:v>
      </x:c>
      <x:c r="B59" s="14" t="str">
        <x:v>股指期货</x:v>
      </x:c>
      <x:c r="C59" s="14" t="str">
        <x:v>采集</x:v>
      </x:c>
      <x:c r="D59" s="14" t="str">
        <x:v>fut_mapping</x:v>
      </x:c>
      <x:c r="E59" s="14" t="str">
        <x:v>表</x:v>
      </x:c>
      <x:c r="F59" s="14" t="str">
        <x:v>主力与实际合约映射</x:v>
      </x:c>
      <x:c r="G59" s="14" t="str">
        <x:v>Tushare期货接口</x:v>
      </x:c>
      <x:c r="H59" s="14" t="str">
        <x:v>来源采集/文件导入</x:v>
      </x:c>
      <x:c r="I59" s="23" t="n">
        <x:v>532</x:v>
      </x:c>
      <x:c r="J59" s="14" t="str">
        <x:v>存在</x:v>
      </x:c>
      <x:c r="K59" s="14" t="str">
        <x:v>国内股指期货配套数据，非A股股票。</x:v>
      </x:c>
      <x:c r="L59" s="14" t="str">
        <x:v>项目外部源合同及数据模型；实库 tables()</x:v>
      </x:c>
    </x:row>
    <x:row r="60" ht="45" customHeight="1">
      <x:c r="A60" s="2" t="str">
        <x:v>A股及国内配套</x:v>
      </x:c>
      <x:c r="B60" s="14" t="str">
        <x:v>股指期货</x:v>
      </x:c>
      <x:c r="C60" s="14" t="str">
        <x:v>采集</x:v>
      </x:c>
      <x:c r="D60" s="14" t="str">
        <x:v>fut_settle</x:v>
      </x:c>
      <x:c r="E60" s="14" t="str">
        <x:v>表</x:v>
      </x:c>
      <x:c r="F60" s="14" t="str">
        <x:v>期货结算参数</x:v>
      </x:c>
      <x:c r="G60" s="14" t="str">
        <x:v>Tushare期货接口</x:v>
      </x:c>
      <x:c r="H60" s="14" t="str">
        <x:v>来源采集/文件导入</x:v>
      </x:c>
      <x:c r="I60" s="23" t="n">
        <x:v>2000</x:v>
      </x:c>
      <x:c r="J60" s="14" t="str">
        <x:v>存在</x:v>
      </x:c>
      <x:c r="K60" s="14" t="str">
        <x:v>国内股指期货配套数据，非A股股票。</x:v>
      </x:c>
      <x:c r="L60" s="14" t="str">
        <x:v>项目外部源合同及数据模型；实库 tables()</x:v>
      </x:c>
    </x:row>
    <x:row r="61" ht="45" customHeight="1">
      <x:c r="A61" s="2" t="str">
        <x:v>A股及国内配套</x:v>
      </x:c>
      <x:c r="B61" s="14" t="str">
        <x:v>股票行情/状态</x:v>
      </x:c>
      <x:c r="C61" s="14" t="str">
        <x:v>采集</x:v>
      </x:c>
      <x:c r="D61" s="14" t="str">
        <x:v>daily</x:v>
      </x:c>
      <x:c r="E61" s="14" t="str">
        <x:v>表</x:v>
      </x:c>
      <x:c r="F61" s="14" t="str">
        <x:v>A股日线OHLCV行情</x:v>
      </x:c>
      <x:c r="G61" s="14" t="str">
        <x:v>Tushare：daily、daily_basic、stk_factor、stk_limit、ST/停牌事件、stock_basic</x:v>
      </x:c>
      <x:c r="H61" s="14" t="str">
        <x:v>来源采集/文件导入</x:v>
      </x:c>
      <x:c r="I61" s="23" t="n">
        <x:v>9849042</x:v>
      </x:c>
      <x:c r="J61" s="14" t="str">
        <x:v>存在</x:v>
      </x:c>
      <x:c r="K61" s="14" t="str"/>
      <x:c r="L61" s="14" t="str">
        <x:v>项目外部源合同及数据模型；实库 tables()</x:v>
      </x:c>
    </x:row>
    <x:row r="62" ht="45" customHeight="1">
      <x:c r="A62" s="2" t="str">
        <x:v>A股及国内配套</x:v>
      </x:c>
      <x:c r="B62" s="14" t="str">
        <x:v>股票行情/状态</x:v>
      </x:c>
      <x:c r="C62" s="14" t="str">
        <x:v>采集</x:v>
      </x:c>
      <x:c r="D62" s="14" t="str">
        <x:v>daily_basic</x:v>
      </x:c>
      <x:c r="E62" s="14" t="str">
        <x:v>表</x:v>
      </x:c>
      <x:c r="F62" s="14" t="str">
        <x:v>每日估值、市值、换手等基本指标</x:v>
      </x:c>
      <x:c r="G62" s="14" t="str">
        <x:v>Tushare：daily、daily_basic、stk_factor、stk_limit、ST/停牌事件、stock_basic</x:v>
      </x:c>
      <x:c r="H62" s="14" t="str">
        <x:v>来源采集/文件导入</x:v>
      </x:c>
      <x:c r="I62" s="23" t="n">
        <x:v>10013500</x:v>
      </x:c>
      <x:c r="J62" s="14" t="str">
        <x:v>存在</x:v>
      </x:c>
      <x:c r="K62" s="14" t="str"/>
      <x:c r="L62" s="14" t="str">
        <x:v>项目外部源合同及数据模型；实库 tables()</x:v>
      </x:c>
    </x:row>
    <x:row r="63" ht="45" customHeight="1">
      <x:c r="A63" s="2" t="str">
        <x:v>A股及国内配套</x:v>
      </x:c>
      <x:c r="B63" s="14" t="str">
        <x:v>股票行情/状态</x:v>
      </x:c>
      <x:c r="C63" s="14" t="str">
        <x:v>采集</x:v>
      </x:c>
      <x:c r="D63" s="14" t="str">
        <x:v>stk_factor</x:v>
      </x:c>
      <x:c r="E63" s="14" t="str">
        <x:v>表</x:v>
      </x:c>
      <x:c r="F63" s="14" t="str">
        <x:v>股票价格、复权价格及来源提供的技术指标</x:v>
      </x:c>
      <x:c r="G63" s="14" t="str">
        <x:v>Tushare：daily、daily_basic、stk_factor、stk_limit、ST/停牌事件、stock_basic</x:v>
      </x:c>
      <x:c r="H63" s="14" t="str">
        <x:v>来源采集/文件导入</x:v>
      </x:c>
      <x:c r="I63" s="23" t="n">
        <x:v>10321386</x:v>
      </x:c>
      <x:c r="J63" s="14" t="str">
        <x:v>存在</x:v>
      </x:c>
      <x:c r="K63" s="14" t="str">
        <x:v>指标由来源提供，项目保留原值，归为采集；不是本地运行计算的 factor_observation。</x:v>
      </x:c>
      <x:c r="L63" s="14" t="str">
        <x:v>项目外部源合同及数据模型；实库 tables()</x:v>
      </x:c>
    </x:row>
    <x:row r="64" ht="45" customHeight="1">
      <x:c r="A64" s="2" t="str">
        <x:v>A股及国内配套</x:v>
      </x:c>
      <x:c r="B64" s="14" t="str">
        <x:v>股票行情/状态</x:v>
      </x:c>
      <x:c r="C64" s="14" t="str">
        <x:v>采集</x:v>
      </x:c>
      <x:c r="D64" s="14" t="str">
        <x:v>stk_limit</x:v>
      </x:c>
      <x:c r="E64" s="14" t="str">
        <x:v>表</x:v>
      </x:c>
      <x:c r="F64" s="14" t="str">
        <x:v>每日涨跌停价格</x:v>
      </x:c>
      <x:c r="G64" s="14" t="str">
        <x:v>Tushare：daily、daily_basic、stk_factor、stk_limit、ST/停牌事件、stock_basic</x:v>
      </x:c>
      <x:c r="H64" s="14" t="str">
        <x:v>来源采集/文件导入</x:v>
      </x:c>
      <x:c r="I64" s="23" t="n">
        <x:v>12395228</x:v>
      </x:c>
      <x:c r="J64" s="14" t="str">
        <x:v>存在</x:v>
      </x:c>
      <x:c r="K64" s="14" t="str"/>
      <x:c r="L64" s="14" t="str">
        <x:v>项目外部源合同及数据模型；实库 tables()</x:v>
      </x:c>
    </x:row>
    <x:row r="65" ht="45" customHeight="1">
      <x:c r="A65" s="2" t="str">
        <x:v>A股及国内配套</x:v>
      </x:c>
      <x:c r="B65" s="14" t="str">
        <x:v>股票行情/状态</x:v>
      </x:c>
      <x:c r="C65" s="14" t="str">
        <x:v>采集</x:v>
      </x:c>
      <x:c r="D65" s="14" t="str">
        <x:v>stk_st_daily</x:v>
      </x:c>
      <x:c r="E65" s="14" t="str">
        <x:v>表</x:v>
      </x:c>
      <x:c r="F65" s="14" t="str">
        <x:v>股票每日ST状态</x:v>
      </x:c>
      <x:c r="G65" s="14" t="str">
        <x:v>Tushare：daily、daily_basic、stk_factor、stk_limit、ST/停牌事件、stock_basic</x:v>
      </x:c>
      <x:c r="H65" s="14" t="str">
        <x:v>来源采集/文件导入</x:v>
      </x:c>
      <x:c r="I65" s="23"/>
      <x:c r="J65" s="14" t="str">
        <x:v>存在</x:v>
      </x:c>
      <x:c r="K65" s="14" t="str">
        <x:v>外部状态/事件采集后展开为日频；系统目录本次未返回行数，不能当作0行。</x:v>
      </x:c>
      <x:c r="L65" s="14" t="str">
        <x:v>项目外部源合同及数据模型；实库 tables()</x:v>
      </x:c>
    </x:row>
    <x:row r="66" ht="45" customHeight="1">
      <x:c r="A66" s="2" t="str">
        <x:v>A股及国内配套</x:v>
      </x:c>
      <x:c r="B66" s="14" t="str">
        <x:v>股票行情/状态</x:v>
      </x:c>
      <x:c r="C66" s="14" t="str">
        <x:v>采集</x:v>
      </x:c>
      <x:c r="D66" s="14" t="str">
        <x:v>stk_suspend</x:v>
      </x:c>
      <x:c r="E66" s="14" t="str">
        <x:v>表</x:v>
      </x:c>
      <x:c r="F66" s="14" t="str">
        <x:v>股票每日停复牌状态</x:v>
      </x:c>
      <x:c r="G66" s="14" t="str">
        <x:v>Tushare：daily、daily_basic、stk_factor、stk_limit、ST/停牌事件、stock_basic</x:v>
      </x:c>
      <x:c r="H66" s="14" t="str">
        <x:v>来源采集/文件导入</x:v>
      </x:c>
      <x:c r="I66" s="23"/>
      <x:c r="J66" s="14" t="str">
        <x:v>存在</x:v>
      </x:c>
      <x:c r="K66" s="14" t="str">
        <x:v>外部状态/事件采集后展开为日频；系统目录本次未返回行数，不能当作0行。</x:v>
      </x:c>
      <x:c r="L66" s="14" t="str">
        <x:v>项目外部源合同及数据模型；实库 tables()</x:v>
      </x:c>
    </x:row>
    <x:row r="67" ht="45" customHeight="1">
      <x:c r="A67" s="2" t="str">
        <x:v>A股及国内配套</x:v>
      </x:c>
      <x:c r="B67" s="14" t="str">
        <x:v>股票行情/状态</x:v>
      </x:c>
      <x:c r="C67" s="14" t="str">
        <x:v>采集</x:v>
      </x:c>
      <x:c r="D67" s="14" t="str">
        <x:v>stock_detail_info</x:v>
      </x:c>
      <x:c r="E67" s="14" t="str">
        <x:v>表</x:v>
      </x:c>
      <x:c r="F67" s="14" t="str">
        <x:v>股票档案、上市状态及基础资料</x:v>
      </x:c>
      <x:c r="G67" s="14" t="str">
        <x:v>Tushare：daily、daily_basic、stk_factor、stk_limit、ST/停牌事件、stock_basic</x:v>
      </x:c>
      <x:c r="H67" s="14" t="str">
        <x:v>来源采集/文件导入</x:v>
      </x:c>
      <x:c r="I67" s="23" t="n">
        <x:v>5912</x:v>
      </x:c>
      <x:c r="J67" s="14" t="str">
        <x:v>存在</x:v>
      </x:c>
      <x:c r="K67" s="14" t="str"/>
      <x:c r="L67" s="14" t="str">
        <x:v>项目外部源合同及数据模型；实库 tables()</x:v>
      </x:c>
    </x:row>
    <x:row r="68" ht="45" customHeight="1">
      <x:c r="A68" s="2" t="str">
        <x:v>A股及国内配套</x:v>
      </x:c>
      <x:c r="B68" s="14" t="str">
        <x:v>财务/分红/披露</x:v>
      </x:c>
      <x:c r="C68" s="14" t="str">
        <x:v>采集</x:v>
      </x:c>
      <x:c r="D68" s="14" t="str">
        <x:v>balance</x:v>
      </x:c>
      <x:c r="E68" s="14" t="str">
        <x:v>表</x:v>
      </x:c>
      <x:c r="F68" s="14" t="str">
        <x:v>资产负债表</x:v>
      </x:c>
      <x:c r="G68" s="14" t="str">
        <x:v>Tushare财务/分红/披露接口</x:v>
      </x:c>
      <x:c r="H68" s="14" t="str">
        <x:v>来源采集/文件导入</x:v>
      </x:c>
      <x:c r="I68" s="23" t="n">
        <x:v>173145</x:v>
      </x:c>
      <x:c r="J68" s="14" t="str">
        <x:v>存在</x:v>
      </x:c>
      <x:c r="K68" s="14" t="str"/>
      <x:c r="L68" s="14" t="str">
        <x:v>项目外部源合同及数据模型；实库 tables()</x:v>
      </x:c>
    </x:row>
    <x:row r="69" ht="45" customHeight="1">
      <x:c r="A69" s="2" t="str">
        <x:v>A股及国内配套</x:v>
      </x:c>
      <x:c r="B69" s="14" t="str">
        <x:v>财务/分红/披露</x:v>
      </x:c>
      <x:c r="C69" s="14" t="str">
        <x:v>采集</x:v>
      </x:c>
      <x:c r="D69" s="14" t="str">
        <x:v>cashflow</x:v>
      </x:c>
      <x:c r="E69" s="14" t="str">
        <x:v>表</x:v>
      </x:c>
      <x:c r="F69" s="14" t="str">
        <x:v>现金流量表</x:v>
      </x:c>
      <x:c r="G69" s="14" t="str">
        <x:v>Tushare财务/分红/披露接口</x:v>
      </x:c>
      <x:c r="H69" s="14" t="str">
        <x:v>来源采集/文件导入</x:v>
      </x:c>
      <x:c r="I69" s="23" t="n">
        <x:v>164525</x:v>
      </x:c>
      <x:c r="J69" s="14" t="str">
        <x:v>存在</x:v>
      </x:c>
      <x:c r="K69" s="14" t="str">
        <x:v>现存采集历史；维护记录已确认本项目尚未完成完整Java源增量接管。</x:v>
      </x:c>
      <x:c r="L69" s="14" t="str">
        <x:v>项目外部源合同及数据模型；实库 tables()</x:v>
      </x:c>
    </x:row>
    <x:row r="70" ht="45" customHeight="1">
      <x:c r="A70" s="2" t="str">
        <x:v>A股及国内配套</x:v>
      </x:c>
      <x:c r="B70" s="14" t="str">
        <x:v>财务/分红/披露</x:v>
      </x:c>
      <x:c r="C70" s="14" t="str">
        <x:v>采集</x:v>
      </x:c>
      <x:c r="D70" s="14" t="str">
        <x:v>disclosure_date</x:v>
      </x:c>
      <x:c r="E70" s="14" t="str">
        <x:v>表</x:v>
      </x:c>
      <x:c r="F70" s="14" t="str">
        <x:v>财报披露计划</x:v>
      </x:c>
      <x:c r="G70" s="14" t="str">
        <x:v>Tushare财务/分红/披露接口</x:v>
      </x:c>
      <x:c r="H70" s="14" t="str">
        <x:v>来源采集/文件导入</x:v>
      </x:c>
      <x:c r="I70" s="23" t="n">
        <x:v>326396</x:v>
      </x:c>
      <x:c r="J70" s="14" t="str">
        <x:v>存在</x:v>
      </x:c>
      <x:c r="K70" s="14" t="str"/>
      <x:c r="L70" s="14" t="str">
        <x:v>项目外部源合同及数据模型；实库 tables()</x:v>
      </x:c>
    </x:row>
    <x:row r="71" ht="45" customHeight="1">
      <x:c r="A71" s="2" t="str">
        <x:v>A股及国内配套</x:v>
      </x:c>
      <x:c r="B71" s="14" t="str">
        <x:v>财务/分红/披露</x:v>
      </x:c>
      <x:c r="C71" s="14" t="str">
        <x:v>采集</x:v>
      </x:c>
      <x:c r="D71" s="14" t="str">
        <x:v>dividend</x:v>
      </x:c>
      <x:c r="E71" s="14" t="str">
        <x:v>表</x:v>
      </x:c>
      <x:c r="F71" s="14" t="str">
        <x:v>分红送转</x:v>
      </x:c>
      <x:c r="G71" s="14" t="str">
        <x:v>Tushare财务/分红/披露接口</x:v>
      </x:c>
      <x:c r="H71" s="14" t="str">
        <x:v>来源采集/文件导入</x:v>
      </x:c>
      <x:c r="I71" s="23" t="n">
        <x:v>115186</x:v>
      </x:c>
      <x:c r="J71" s="14" t="str">
        <x:v>存在</x:v>
      </x:c>
      <x:c r="K71" s="14" t="str"/>
      <x:c r="L71" s="14" t="str">
        <x:v>项目外部源合同及数据模型；实库 tables()</x:v>
      </x:c>
    </x:row>
    <x:row r="72" ht="45" customHeight="1">
      <x:c r="A72" s="2" t="str">
        <x:v>A股及国内配套</x:v>
      </x:c>
      <x:c r="B72" s="14" t="str">
        <x:v>财务/分红/披露</x:v>
      </x:c>
      <x:c r="C72" s="14" t="str">
        <x:v>采集</x:v>
      </x:c>
      <x:c r="D72" s="14" t="str">
        <x:v>express</x:v>
      </x:c>
      <x:c r="E72" s="14" t="str">
        <x:v>表</x:v>
      </x:c>
      <x:c r="F72" s="14" t="str">
        <x:v>业绩快报</x:v>
      </x:c>
      <x:c r="G72" s="14" t="str">
        <x:v>Tushare财务/分红/披露接口</x:v>
      </x:c>
      <x:c r="H72" s="14" t="str">
        <x:v>来源采集/文件导入</x:v>
      </x:c>
      <x:c r="I72" s="23" t="n">
        <x:v>14205</x:v>
      </x:c>
      <x:c r="J72" s="14" t="str">
        <x:v>存在</x:v>
      </x:c>
      <x:c r="K72" s="14" t="str">
        <x:v>现存采集历史；维护记录已确认本项目尚未完成完整Java源增量接管。</x:v>
      </x:c>
      <x:c r="L72" s="14" t="str">
        <x:v>项目外部源合同及数据模型；实库 tables()</x:v>
      </x:c>
    </x:row>
    <x:row r="73" ht="45" customHeight="1">
      <x:c r="A73" s="2" t="str">
        <x:v>A股及国内配套</x:v>
      </x:c>
      <x:c r="B73" s="14" t="str">
        <x:v>财务/分红/披露</x:v>
      </x:c>
      <x:c r="C73" s="14" t="str">
        <x:v>采集</x:v>
      </x:c>
      <x:c r="D73" s="14" t="str">
        <x:v>fina_audit</x:v>
      </x:c>
      <x:c r="E73" s="14" t="str">
        <x:v>表</x:v>
      </x:c>
      <x:c r="F73" s="14" t="str">
        <x:v>审计意见</x:v>
      </x:c>
      <x:c r="G73" s="14" t="str">
        <x:v>Tushare财务/分红/披露接口</x:v>
      </x:c>
      <x:c r="H73" s="14" t="str">
        <x:v>来源采集/文件导入</x:v>
      </x:c>
      <x:c r="I73" s="23" t="n">
        <x:v>77060</x:v>
      </x:c>
      <x:c r="J73" s="14" t="str">
        <x:v>存在</x:v>
      </x:c>
      <x:c r="K73" s="14" t="str"/>
      <x:c r="L73" s="14" t="str">
        <x:v>项目外部源合同及数据模型；实库 tables()</x:v>
      </x:c>
    </x:row>
    <x:row r="74" ht="45" customHeight="1">
      <x:c r="A74" s="2" t="str">
        <x:v>A股及国内配套</x:v>
      </x:c>
      <x:c r="B74" s="14" t="str">
        <x:v>财务/分红/披露</x:v>
      </x:c>
      <x:c r="C74" s="14" t="str">
        <x:v>采集</x:v>
      </x:c>
      <x:c r="D74" s="14" t="str">
        <x:v>fina_indicator</x:v>
      </x:c>
      <x:c r="E74" s="14" t="str">
        <x:v>表</x:v>
      </x:c>
      <x:c r="F74" s="14" t="str">
        <x:v>财务指标</x:v>
      </x:c>
      <x:c r="G74" s="14" t="str">
        <x:v>Tushare财务/分红/披露接口</x:v>
      </x:c>
      <x:c r="H74" s="14" t="str">
        <x:v>来源采集/文件导入</x:v>
      </x:c>
      <x:c r="I74" s="23" t="n">
        <x:v>197174</x:v>
      </x:c>
      <x:c r="J74" s="14" t="str">
        <x:v>存在</x:v>
      </x:c>
      <x:c r="K74" s="14" t="str">
        <x:v>现存采集历史；维护记录已确认本项目尚未完成完整Java源增量接管。</x:v>
      </x:c>
      <x:c r="L74" s="14" t="str">
        <x:v>项目外部源合同及数据模型；实库 tables()</x:v>
      </x:c>
    </x:row>
    <x:row r="75" ht="45" customHeight="1">
      <x:c r="A75" s="2" t="str">
        <x:v>A股及国内配套</x:v>
      </x:c>
      <x:c r="B75" s="14" t="str">
        <x:v>财务/分红/披露</x:v>
      </x:c>
      <x:c r="C75" s="14" t="str">
        <x:v>采集</x:v>
      </x:c>
      <x:c r="D75" s="14" t="str">
        <x:v>fina_mainbz</x:v>
      </x:c>
      <x:c r="E75" s="14" t="str">
        <x:v>表</x:v>
      </x:c>
      <x:c r="F75" s="14" t="str">
        <x:v>主营业务构成</x:v>
      </x:c>
      <x:c r="G75" s="14" t="str">
        <x:v>Tushare财务/分红/披露接口</x:v>
      </x:c>
      <x:c r="H75" s="14" t="str">
        <x:v>来源采集/文件导入</x:v>
      </x:c>
      <x:c r="I75" s="23" t="n">
        <x:v>364757</x:v>
      </x:c>
      <x:c r="J75" s="14" t="str">
        <x:v>存在</x:v>
      </x:c>
      <x:c r="K75" s="14" t="str"/>
      <x:c r="L75" s="14" t="str">
        <x:v>项目外部源合同及数据模型；实库 tables()</x:v>
      </x:c>
    </x:row>
    <x:row r="76" ht="45" customHeight="1">
      <x:c r="A76" s="2" t="str">
        <x:v>A股及国内配套</x:v>
      </x:c>
      <x:c r="B76" s="14" t="str">
        <x:v>财务/分红/披露</x:v>
      </x:c>
      <x:c r="C76" s="14" t="str">
        <x:v>采集</x:v>
      </x:c>
      <x:c r="D76" s="14" t="str">
        <x:v>forecast</x:v>
      </x:c>
      <x:c r="E76" s="14" t="str">
        <x:v>表</x:v>
      </x:c>
      <x:c r="F76" s="14" t="str">
        <x:v>业绩预告</x:v>
      </x:c>
      <x:c r="G76" s="14" t="str">
        <x:v>Tushare财务/分红/披露接口</x:v>
      </x:c>
      <x:c r="H76" s="14" t="str">
        <x:v>来源采集/文件导入</x:v>
      </x:c>
      <x:c r="I76" s="23" t="n">
        <x:v>57417</x:v>
      </x:c>
      <x:c r="J76" s="14" t="str">
        <x:v>存在</x:v>
      </x:c>
      <x:c r="K76" s="14" t="str">
        <x:v>现存采集历史；维护记录已确认本项目尚未完成完整Java源增量接管。</x:v>
      </x:c>
      <x:c r="L76" s="14" t="str">
        <x:v>项目外部源合同及数据模型；实库 tables()</x:v>
      </x:c>
    </x:row>
    <x:row r="77" ht="45" customHeight="1">
      <x:c r="A77" s="2" t="str">
        <x:v>A股及国内配套</x:v>
      </x:c>
      <x:c r="B77" s="14" t="str">
        <x:v>财务/分红/披露</x:v>
      </x:c>
      <x:c r="C77" s="14" t="str">
        <x:v>采集</x:v>
      </x:c>
      <x:c r="D77" s="14" t="str">
        <x:v>income</x:v>
      </x:c>
      <x:c r="E77" s="14" t="str">
        <x:v>表</x:v>
      </x:c>
      <x:c r="F77" s="14" t="str">
        <x:v>利润表</x:v>
      </x:c>
      <x:c r="G77" s="14" t="str">
        <x:v>Tushare财务/分红/披露接口</x:v>
      </x:c>
      <x:c r="H77" s="14" t="str">
        <x:v>来源采集/文件导入</x:v>
      </x:c>
      <x:c r="I77" s="23" t="n">
        <x:v>177762</x:v>
      </x:c>
      <x:c r="J77" s="14" t="str">
        <x:v>存在</x:v>
      </x:c>
      <x:c r="K77" s="14" t="str">
        <x:v>现存采集历史；维护记录已确认本项目尚未完成完整Java源增量接管。</x:v>
      </x:c>
      <x:c r="L77" s="14" t="str">
        <x:v>项目外部源合同及数据模型；实库 tables()</x:v>
      </x:c>
    </x:row>
    <x:row r="78" ht="45" customHeight="1">
      <x:c r="A78" s="2" t="str">
        <x:v>A股及国内配套</x:v>
      </x:c>
      <x:c r="B78" s="14" t="str">
        <x:v>资金流/融资融券</x:v>
      </x:c>
      <x:c r="C78" s="14" t="str">
        <x:v>采集</x:v>
      </x:c>
      <x:c r="D78" s="14" t="str">
        <x:v>margin_all</x:v>
      </x:c>
      <x:c r="E78" s="14" t="str">
        <x:v>表</x:v>
      </x:c>
      <x:c r="F78" s="14" t="str">
        <x:v>融资融券市场汇总</x:v>
      </x:c>
      <x:c r="G78" s="14" t="str">
        <x:v>Tushare资金流/两融接口</x:v>
      </x:c>
      <x:c r="H78" s="14" t="str">
        <x:v>来源采集/文件导入</x:v>
      </x:c>
      <x:c r="I78" s="23" t="n">
        <x:v>4722</x:v>
      </x:c>
      <x:c r="J78" s="14" t="str">
        <x:v>存在</x:v>
      </x:c>
      <x:c r="K78" s="14" t="str"/>
      <x:c r="L78" s="14" t="str">
        <x:v>项目外部源合同及数据模型；实库 tables()</x:v>
      </x:c>
    </x:row>
    <x:row r="79" ht="45" customHeight="1">
      <x:c r="A79" s="2" t="str">
        <x:v>A股及国内配套</x:v>
      </x:c>
      <x:c r="B79" s="14" t="str">
        <x:v>资金流/融资融券</x:v>
      </x:c>
      <x:c r="C79" s="14" t="str">
        <x:v>采集</x:v>
      </x:c>
      <x:c r="D79" s="14" t="str">
        <x:v>margin_detail</x:v>
      </x:c>
      <x:c r="E79" s="14" t="str">
        <x:v>表</x:v>
      </x:c>
      <x:c r="F79" s="14" t="str">
        <x:v>融资融券证券明细</x:v>
      </x:c>
      <x:c r="G79" s="14" t="str">
        <x:v>Tushare资金流/两融接口</x:v>
      </x:c>
      <x:c r="H79" s="14" t="str">
        <x:v>来源采集/文件导入</x:v>
      </x:c>
      <x:c r="I79" s="23" t="n">
        <x:v>3606149</x:v>
      </x:c>
      <x:c r="J79" s="14" t="str">
        <x:v>存在</x:v>
      </x:c>
      <x:c r="K79" s="14" t="str"/>
      <x:c r="L79" s="14" t="str">
        <x:v>项目外部源合同及数据模型；实库 tables()</x:v>
      </x:c>
    </x:row>
    <x:row r="80" ht="45" customHeight="1">
      <x:c r="A80" s="2" t="str">
        <x:v>A股及国内配套</x:v>
      </x:c>
      <x:c r="B80" s="14" t="str">
        <x:v>资金流/融资融券</x:v>
      </x:c>
      <x:c r="C80" s="14" t="str">
        <x:v>采集</x:v>
      </x:c>
      <x:c r="D80" s="14" t="str">
        <x:v>margin_secs</x:v>
      </x:c>
      <x:c r="E80" s="14" t="str">
        <x:v>表</x:v>
      </x:c>
      <x:c r="F80" s="14" t="str">
        <x:v>融资融券标的名单</x:v>
      </x:c>
      <x:c r="G80" s="14" t="str">
        <x:v>Tushare资金流/两融接口</x:v>
      </x:c>
      <x:c r="H80" s="14" t="str">
        <x:v>来源采集/文件导入</x:v>
      </x:c>
      <x:c r="I80" s="23" t="n">
        <x:v>1618079</x:v>
      </x:c>
      <x:c r="J80" s="14" t="str">
        <x:v>存在</x:v>
      </x:c>
      <x:c r="K80" s="14" t="str"/>
      <x:c r="L80" s="14" t="str">
        <x:v>项目外部源合同及数据模型；实库 tables()</x:v>
      </x:c>
    </x:row>
    <x:row r="81" ht="45" customHeight="1">
      <x:c r="A81" s="2" t="str">
        <x:v>A股及国内配套</x:v>
      </x:c>
      <x:c r="B81" s="14" t="str">
        <x:v>资金流/融资融券</x:v>
      </x:c>
      <x:c r="C81" s="14" t="str">
        <x:v>采集</x:v>
      </x:c>
      <x:c r="D81" s="14" t="str">
        <x:v>margin_trading</x:v>
      </x:c>
      <x:c r="E81" s="14" t="str">
        <x:v>表</x:v>
      </x:c>
      <x:c r="F81" s="14" t="str">
        <x:v>本地两融文件的证券日频明细</x:v>
      </x:c>
      <x:c r="G81" s="14" t="str">
        <x:v>外部两融CSV文件</x:v>
      </x:c>
      <x:c r="H81" s="14" t="str">
        <x:v>来源采集/文件导入</x:v>
      </x:c>
      <x:c r="I81" s="23" t="n">
        <x:v>181140</x:v>
      </x:c>
      <x:c r="J81" s="14" t="str">
        <x:v>存在</x:v>
      </x:c>
      <x:c r="K81" s="14" t="str"/>
      <x:c r="L81" s="14" t="str">
        <x:v>项目 MarginTrading 模型明确标注本地CSV来源；实库 tables()</x:v>
      </x:c>
    </x:row>
    <x:row r="82" ht="45" customHeight="1">
      <x:c r="A82" s="2" t="str">
        <x:v>A股及国内配套</x:v>
      </x:c>
      <x:c r="B82" s="14" t="str">
        <x:v>资金流/融资融券</x:v>
      </x:c>
      <x:c r="C82" s="14" t="str">
        <x:v>采集</x:v>
      </x:c>
      <x:c r="D82" s="14" t="str">
        <x:v>margin_zrz</x:v>
      </x:c>
      <x:c r="E82" s="14" t="str">
        <x:v>表</x:v>
      </x:c>
      <x:c r="F82" s="14" t="str">
        <x:v>转融资交易汇总</x:v>
      </x:c>
      <x:c r="G82" s="14" t="str">
        <x:v>Tushare资金流/两融接口</x:v>
      </x:c>
      <x:c r="H82" s="14" t="str">
        <x:v>来源采集/文件导入</x:v>
      </x:c>
      <x:c r="I82" s="23" t="n">
        <x:v>1238</x:v>
      </x:c>
      <x:c r="J82" s="14" t="str">
        <x:v>存在</x:v>
      </x:c>
      <x:c r="K82" s="14" t="str"/>
      <x:c r="L82" s="14" t="str">
        <x:v>项目外部源合同及数据模型；实库 tables()</x:v>
      </x:c>
    </x:row>
    <x:row r="83" ht="45" customHeight="1">
      <x:c r="A83" s="2" t="str">
        <x:v>A股及国内配套</x:v>
      </x:c>
      <x:c r="B83" s="14" t="str">
        <x:v>资金流/融资融券</x:v>
      </x:c>
      <x:c r="C83" s="14" t="str">
        <x:v>采集</x:v>
      </x:c>
      <x:c r="D83" s="14" t="str">
        <x:v>moneyflow</x:v>
      </x:c>
      <x:c r="E83" s="14" t="str">
        <x:v>表</x:v>
      </x:c>
      <x:c r="F83" s="14" t="str">
        <x:v>个股资金流向</x:v>
      </x:c>
      <x:c r="G83" s="14" t="str">
        <x:v>Tushare资金流/两融接口</x:v>
      </x:c>
      <x:c r="H83" s="14" t="str">
        <x:v>来源采集/文件导入</x:v>
      </x:c>
      <x:c r="I83" s="23" t="n">
        <x:v>4642411</x:v>
      </x:c>
      <x:c r="J83" s="14" t="str">
        <x:v>存在</x:v>
      </x:c>
      <x:c r="K83" s="14" t="str"/>
      <x:c r="L83" s="14" t="str">
        <x:v>项目外部源合同及数据模型；实库 tables()</x:v>
      </x:c>
    </x:row>
    <x:row r="84" ht="45" customHeight="1">
      <x:c r="A84" s="2" t="str">
        <x:v>A股及国内配套</x:v>
      </x:c>
      <x:c r="B84" s="14" t="str">
        <x:v>资金流/融资融券</x:v>
      </x:c>
      <x:c r="C84" s="14" t="str">
        <x:v>采集</x:v>
      </x:c>
      <x:c r="D84" s="14" t="str">
        <x:v>moneyflow_dc</x:v>
      </x:c>
      <x:c r="E84" s="14" t="str">
        <x:v>表</x:v>
      </x:c>
      <x:c r="F84" s="14" t="str">
        <x:v>东方财富口径资金流向</x:v>
      </x:c>
      <x:c r="G84" s="14" t="str">
        <x:v>Tushare资金流/两融接口</x:v>
      </x:c>
      <x:c r="H84" s="14" t="str">
        <x:v>来源采集/文件导入</x:v>
      </x:c>
      <x:c r="I84" s="23" t="n">
        <x:v>3478841</x:v>
      </x:c>
      <x:c r="J84" s="14" t="str">
        <x:v>存在</x:v>
      </x:c>
      <x:c r="K84" s="14" t="str"/>
      <x:c r="L84" s="14" t="str">
        <x:v>项目外部源合同及数据模型；实库 tables()</x:v>
      </x:c>
    </x:row>
    <x:row r="85" ht="45" customHeight="1">
      <x:c r="A85" s="2" t="str">
        <x:v>A股及国内配套</x:v>
      </x:c>
      <x:c r="B85" s="14" t="str">
        <x:v>资金流/融资融券</x:v>
      </x:c>
      <x:c r="C85" s="14" t="str">
        <x:v>采集</x:v>
      </x:c>
      <x:c r="D85" s="14" t="str">
        <x:v>moneyflow_hsgt</x:v>
      </x:c>
      <x:c r="E85" s="14" t="str">
        <x:v>表</x:v>
      </x:c>
      <x:c r="F85" s="14" t="str">
        <x:v>沪深港通资金流向</x:v>
      </x:c>
      <x:c r="G85" s="14" t="str">
        <x:v>Tushare资金流/两融接口</x:v>
      </x:c>
      <x:c r="H85" s="14" t="str">
        <x:v>来源采集/文件导入</x:v>
      </x:c>
      <x:c r="I85" s="23" t="n">
        <x:v>442</x:v>
      </x:c>
      <x:c r="J85" s="14" t="str">
        <x:v>存在</x:v>
      </x:c>
      <x:c r="K85" s="14" t="str"/>
      <x:c r="L85" s="14" t="str">
        <x:v>项目外部源合同及数据模型；实库 tables()</x:v>
      </x:c>
    </x:row>
    <x:row r="86" ht="45" customHeight="1">
      <x:c r="A86" s="2" t="str">
        <x:v>A股及国内配套</x:v>
      </x:c>
      <x:c r="B86" s="14" t="str">
        <x:v>资金流/融资融券</x:v>
      </x:c>
      <x:c r="C86" s="14" t="str">
        <x:v>采集</x:v>
      </x:c>
      <x:c r="D86" s="14" t="str">
        <x:v>moneyflow_ths</x:v>
      </x:c>
      <x:c r="E86" s="14" t="str">
        <x:v>表</x:v>
      </x:c>
      <x:c r="F86" s="14" t="str">
        <x:v>同花顺口径资金流向</x:v>
      </x:c>
      <x:c r="G86" s="14" t="str">
        <x:v>Tushare资金流/两融接口</x:v>
      </x:c>
      <x:c r="H86" s="14" t="str">
        <x:v>来源采集/文件导入</x:v>
      </x:c>
      <x:c r="I86" s="23" t="n">
        <x:v>2136439</x:v>
      </x:c>
      <x:c r="J86" s="14" t="str">
        <x:v>存在</x:v>
      </x:c>
      <x:c r="K86" s="14" t="str"/>
      <x:c r="L86" s="14" t="str">
        <x:v>项目外部源合同及数据模型；实库 tables()</x:v>
      </x:c>
    </x:row>
    <x:row r="87" ht="45" customHeight="1">
      <x:c r="A87" s="2" t="str">
        <x:v>A股及国内配套</x:v>
      </x:c>
      <x:c r="B87" s="14" t="str">
        <x:v>黄金</x:v>
      </x:c>
      <x:c r="C87" s="14" t="str">
        <x:v>采集</x:v>
      </x:c>
      <x:c r="D87" s="14" t="str">
        <x:v>sge_daily</x:v>
      </x:c>
      <x:c r="E87" s="14" t="str">
        <x:v>表</x:v>
      </x:c>
      <x:c r="F87" s="14" t="str">
        <x:v>上海黄金交易所现货合约日行情</x:v>
      </x:c>
      <x:c r="G87" s="14" t="str">
        <x:v>Tushare sge_daily</x:v>
      </x:c>
      <x:c r="H87" s="14" t="str">
        <x:v>来源采集/文件导入</x:v>
      </x:c>
      <x:c r="I87" s="23" t="n">
        <x:v>177640</x:v>
      </x:c>
      <x:c r="J87" s="14" t="str">
        <x:v>存在</x:v>
      </x:c>
      <x:c r="K87" s="14" t="str">
        <x:v>国内配套资产，非A股股票。</x:v>
      </x:c>
      <x:c r="L87" s="14" t="str">
        <x:v>项目外部源合同及数据模型；实库 tables()</x:v>
      </x:c>
    </x:row>
    <x:row r="88" ht="45" customHeight="1">
      <x:c r="A88" s="2" t="str">
        <x:v>A股及国内配套</x:v>
      </x:c>
      <x:c r="B88" s="14" t="str">
        <x:v>ETF市场概览</x:v>
      </x:c>
      <x:c r="C88" s="14" t="str">
        <x:v>衍生视图</x:v>
      </x:c>
      <x:c r="D88" s="14" t="str">
        <x:v>mv_etf_market_overview_daily_v1</x:v>
      </x:c>
      <x:c r="E88" s="14" t="str">
        <x:v>物化视图</x:v>
      </x:c>
      <x:c r="F88" s="14" t="str">
        <x:v>ETF数量、总份额及市值聚合</x:v>
      </x:c>
      <x:c r="G88" s="14" t="str">
        <x:v>etf_share + etf_daily</x:v>
      </x:c>
      <x:c r="H88" s="14" t="str">
        <x:v>QuestDB 即时刷新（基表 etf_share）</x:v>
      </x:c>
      <x:c r="I88" s="23" t="n">
        <x:v>2117</x:v>
      </x:c>
      <x:c r="J88" s="14" t="str">
        <x:v>valid</x:v>
      </x:c>
      <x:c r="K88" s="14" t="str">
        <x:v>etf_share写入触发；仅修改etf_daily不会独立触发原生刷新。</x:v>
      </x:c>
      <x:c r="L88" s="14" t="str">
        <x:v>实库 materialized_views() SQL、基表及刷新元数据</x:v>
      </x:c>
    </x:row>
    <x:row r="89" ht="45" customHeight="1">
      <x:c r="A89" s="2" t="str">
        <x:v>A股及国内配套</x:v>
      </x:c>
      <x:c r="B89" s="14" t="str">
        <x:v>回测基础行情</x:v>
      </x:c>
      <x:c r="C89" s="14" t="str">
        <x:v>衍生视图</x:v>
      </x:c>
      <x:c r="D89" s="14" t="str">
        <x:v>mv_backtest_daily</x:v>
      </x:c>
      <x:c r="E89" s="14" t="str">
        <x:v>物化视图</x:v>
      </x:c>
      <x:c r="F89" s="14" t="str">
        <x:v>行情、涨跌停、停牌补行及ST状态的回测查询结果</x:v>
      </x:c>
      <x:c r="G89" s="14" t="str">
        <x:v>stk_factor + stk_limit + stk_suspend + stk_st_daily</x:v>
      </x:c>
      <x:c r="H89" s="14" t="str">
        <x:v>QuestDB 即时刷新（基表 stk_limit）</x:v>
      </x:c>
      <x:c r="I89" s="23" t="n">
        <x:v>10439448</x:v>
      </x:c>
      <x:c r="J89" s="14" t="str">
        <x:v>valid</x:v>
      </x:c>
      <x:c r="K89" s="14" t="str">
        <x:v>stk_limit写入触发；采集需先写关联源、最后写stk_limit。关联表单独变化不触发。</x:v>
      </x:c>
      <x:c r="L89" s="14" t="str">
        <x:v>实库 materialized_views() SQL、基表及刷新元数据</x:v>
      </x:c>
    </x:row>
    <x:row r="90" ht="45" customHeight="1">
      <x:c r="A90" s="2" t="str">
        <x:v>A股及国内配套</x:v>
      </x:c>
      <x:c r="B90" s="14" t="str">
        <x:v>市场广度</x:v>
      </x:c>
      <x:c r="C90" s="14" t="str">
        <x:v>衍生视图</x:v>
      </x:c>
      <x:c r="D90" s="14" t="str">
        <x:v>mv_market_breadth_daily_v1</x:v>
      </x:c>
      <x:c r="E90" s="14" t="str">
        <x:v>物化视图</x:v>
      </x:c>
      <x:c r="F90" s="14" t="str">
        <x:v>股票日频市场广度聚合</x:v>
      </x:c>
      <x:c r="G90" s="14" t="str">
        <x:v>stk_factor</x:v>
      </x:c>
      <x:c r="H90" s="14" t="str">
        <x:v>QuestDB 每 1 分钟刷新</x:v>
      </x:c>
      <x:c r="I90" s="23" t="n">
        <x:v>2226</x:v>
      </x:c>
      <x:c r="J90" s="14" t="str">
        <x:v>valid</x:v>
      </x:c>
      <x:c r="K90" s="14" t="str"/>
      <x:c r="L90" s="14" t="str">
        <x:v>实库 materialized_views() SQL及每1分钟定时配置</x:v>
      </x:c>
    </x:row>
    <x:row r="91" ht="45" customHeight="1">
      <x:c r="A91" s="2" t="str">
        <x:v>A股及国内配套</x:v>
      </x:c>
      <x:c r="B91" s="14" t="str">
        <x:v>散户情绪</x:v>
      </x:c>
      <x:c r="C91" s="14" t="str">
        <x:v>衍生视图</x:v>
      </x:c>
      <x:c r="D91" s="14" t="str">
        <x:v>mv_retail_sentiment_daily_v1</x:v>
      </x:c>
      <x:c r="E91" s="14" t="str">
        <x:v>物化视图</x:v>
      </x:c>
      <x:c r="F91" s="14" t="str">
        <x:v>从L2日频特征聚合的散户情绪</x:v>
      </x:c>
      <x:c r="G91" s="14" t="str">
        <x:v>l2_daily_features</x:v>
      </x:c>
      <x:c r="H91" s="14" t="str">
        <x:v>QuestDB 每 1 分钟刷新</x:v>
      </x:c>
      <x:c r="I91" s="23" t="n">
        <x:v>914</x:v>
      </x:c>
      <x:c r="J91" s="14" t="str">
        <x:v>valid</x:v>
      </x:c>
      <x:c r="K91" s="14" t="str"/>
      <x:c r="L91" s="14" t="str">
        <x:v>实库 materialized_views() SQL及每1分钟定时配置</x:v>
      </x:c>
    </x:row>
    <x:row r="92" ht="45" customHeight="1">
      <x:c r="A92" s="2" t="str">
        <x:v>A股及国内配套</x:v>
      </x:c>
      <x:c r="B92" s="14" t="str">
        <x:v>Level2特征/标签</x:v>
      </x:c>
      <x:c r="C92" s="14" t="str">
        <x:v>运行生成</x:v>
      </x:c>
      <x:c r="D92" s="14" t="str">
        <x:v>l2_daily_features</x:v>
      </x:c>
      <x:c r="E92" s="14" t="str">
        <x:v>表</x:v>
      </x:c>
      <x:c r="F92" s="14" t="str">
        <x:v>L2逐笔/盘口计算的日频特征</x:v>
      </x:c>
      <x:c r="G92" s="14" t="str">
        <x:v>原始L2订单/成交/盘口，或已计算的特征Parquet</x:v>
      </x:c>
      <x:c r="H92" s="14" t="str">
        <x:v>应用计算、登记或记录</x:v>
      </x:c>
      <x:c r="I92" s="23" t="n">
        <x:v>5004000</x:v>
      </x:c>
      <x:c r="J92" s="14" t="str">
        <x:v>存在</x:v>
      </x:c>
      <x:c r="K92" s="14" t="str">
        <x:v>数据本质是程序计算产物；即使以Parquet导入QuestDB，也不标为原始行情采集。</x:v>
      </x:c>
      <x:c r="L92" s="14" t="str">
        <x:v>Java L2DailyFeaturePipeline及各L2特征/标签合同；实库 tables()</x:v>
      </x:c>
    </x:row>
    <x:row r="93" ht="45" customHeight="1">
      <x:c r="A93" s="2" t="str">
        <x:v>A股及国内配套</x:v>
      </x:c>
      <x:c r="B93" s="14" t="str">
        <x:v>Level2特征/标签</x:v>
      </x:c>
      <x:c r="C93" s="14" t="str">
        <x:v>运行生成</x:v>
      </x:c>
      <x:c r="D93" s="14" t="str">
        <x:v>l2_event_response_features</x:v>
      </x:c>
      <x:c r="E93" s="14" t="str">
        <x:v>表</x:v>
      </x:c>
      <x:c r="F93" s="14" t="str">
        <x:v>L2事件响应特征</x:v>
      </x:c>
      <x:c r="G93" s="14" t="str">
        <x:v>原始L2订单/成交/盘口，或已计算的特征Parquet</x:v>
      </x:c>
      <x:c r="H93" s="14" t="str">
        <x:v>应用计算、登记或记录</x:v>
      </x:c>
      <x:c r="I93" s="23" t="n">
        <x:v>114123728</x:v>
      </x:c>
      <x:c r="J93" s="14" t="str">
        <x:v>存在</x:v>
      </x:c>
      <x:c r="K93" s="14" t="str">
        <x:v>数据本质是程序计算产物；即使以Parquet导入QuestDB，也不标为原始行情采集。</x:v>
      </x:c>
      <x:c r="L93" s="14" t="str">
        <x:v>Java L2DailyFeaturePipeline及各L2特征/标签合同；实库 tables()</x:v>
      </x:c>
    </x:row>
    <x:row r="94" ht="45" customHeight="1">
      <x:c r="A94" s="2" t="str">
        <x:v>A股及国内配套</x:v>
      </x:c>
      <x:c r="B94" s="14" t="str">
        <x:v>Level2特征/标签</x:v>
      </x:c>
      <x:c r="C94" s="14" t="str">
        <x:v>运行生成</x:v>
      </x:c>
      <x:c r="D94" s="14" t="str">
        <x:v>l2_intraday_bar_features</x:v>
      </x:c>
      <x:c r="E94" s="14" t="str">
        <x:v>表</x:v>
      </x:c>
      <x:c r="F94" s="14" t="str">
        <x:v>L2日内分桶/分钟特征</x:v>
      </x:c>
      <x:c r="G94" s="14" t="str">
        <x:v>原始L2订单/成交/盘口，或已计算的特征Parquet</x:v>
      </x:c>
      <x:c r="H94" s="14" t="str">
        <x:v>应用计算、登记或记录</x:v>
      </x:c>
      <x:c r="I94" s="23" t="n">
        <x:v>158752546</x:v>
      </x:c>
      <x:c r="J94" s="14" t="str">
        <x:v>存在</x:v>
      </x:c>
      <x:c r="K94" s="14" t="str">
        <x:v>数据本质是程序计算产物；即使以Parquet导入QuestDB，也不标为原始行情采集。</x:v>
      </x:c>
      <x:c r="L94" s="14" t="str">
        <x:v>Java L2DailyFeaturePipeline及各L2特征/标签合同；实库 tables()</x:v>
      </x:c>
    </x:row>
    <x:row r="95" ht="45" customHeight="1">
      <x:c r="A95" s="2" t="str">
        <x:v>A股及国内配套</x:v>
      </x:c>
      <x:c r="B95" s="14" t="str">
        <x:v>Level2特征/标签</x:v>
      </x:c>
      <x:c r="C95" s="14" t="str">
        <x:v>运行生成</x:v>
      </x:c>
      <x:c r="D95" s="14" t="str">
        <x:v>l2_t0_training_labels</x:v>
      </x:c>
      <x:c r="E95" s="14" t="str">
        <x:v>表</x:v>
      </x:c>
      <x:c r="F95" s="14" t="str">
        <x:v>T0模型训练标签</x:v>
      </x:c>
      <x:c r="G95" s="14" t="str">
        <x:v>原始L2订单/成交/盘口，或已计算的特征Parquet</x:v>
      </x:c>
      <x:c r="H95" s="14" t="str">
        <x:v>应用计算、登记或记录</x:v>
      </x:c>
      <x:c r="I95" s="23" t="n">
        <x:v>181049686</x:v>
      </x:c>
      <x:c r="J95" s="14" t="str">
        <x:v>存在</x:v>
      </x:c>
      <x:c r="K95" s="14" t="str">
        <x:v>数据本质是程序计算产物；即使以Parquet导入QuestDB，也不标为原始行情采集。</x:v>
      </x:c>
      <x:c r="L95" s="14" t="str">
        <x:v>Java L2DailyFeaturePipeline及各L2特征/标签合同；实库 tables()</x:v>
      </x:c>
    </x:row>
    <x:row r="96" ht="45" customHeight="1">
      <x:c r="A96" s="2" t="str">
        <x:v>A股及国内配套</x:v>
      </x:c>
      <x:c r="B96" s="14" t="str">
        <x:v>Level2运行记录</x:v>
      </x:c>
      <x:c r="C96" s="14" t="str">
        <x:v>运行生成</x:v>
      </x:c>
      <x:c r="D96" s="14" t="str">
        <x:v>l2_dataset_manifest</x:v>
      </x:c>
      <x:c r="E96" s="14" t="str">
        <x:v>表</x:v>
      </x:c>
      <x:c r="F96" s="14" t="str">
        <x:v>L2数据文件清单、版本及处理证据</x:v>
      </x:c>
      <x:c r="G96" s="14" t="str">
        <x:v>L2处理链路、实时订阅及网关运行</x:v>
      </x:c>
      <x:c r="H96" s="14" t="str">
        <x:v>应用计算、登记或记录</x:v>
      </x:c>
      <x:c r="I96" s="23" t="n">
        <x:v>657003</x:v>
      </x:c>
      <x:c r="J96" s="14" t="str">
        <x:v>存在</x:v>
      </x:c>
      <x:c r="K96" s="14" t="str">
        <x:v>现存运行历史/状态。当前实时链路使用本地存储，不据表存在认定仍有写入。</x:v>
      </x:c>
      <x:c r="L96" s="14" t="str">
        <x:v>项目L2数据/运行模型及Java字段投影；实库 tables()</x:v>
      </x:c>
    </x:row>
    <x:row r="97" ht="45" customHeight="1">
      <x:c r="A97" s="2" t="str">
        <x:v>A股及国内配套</x:v>
      </x:c>
      <x:c r="B97" s="14" t="str">
        <x:v>Level2运行记录</x:v>
      </x:c>
      <x:c r="C97" s="14" t="str">
        <x:v>运行生成</x:v>
      </x:c>
      <x:c r="D97" s="14" t="str">
        <x:v>l2_live_gateway_stats</x:v>
      </x:c>
      <x:c r="E97" s="14" t="str">
        <x:v>表</x:v>
      </x:c>
      <x:c r="F97" s="14" t="str">
        <x:v>实时网关连接、收包、队列和错误统计</x:v>
      </x:c>
      <x:c r="G97" s="14" t="str">
        <x:v>L2处理链路、实时订阅及网关运行</x:v>
      </x:c>
      <x:c r="H97" s="14" t="str">
        <x:v>应用计算、登记或记录</x:v>
      </x:c>
      <x:c r="I97" s="23" t="n">
        <x:v>149850</x:v>
      </x:c>
      <x:c r="J97" s="14" t="str">
        <x:v>存在</x:v>
      </x:c>
      <x:c r="K97" s="14" t="str">
        <x:v>现存运行历史/状态。当前实时链路使用本地存储，不据表存在认定仍有写入。</x:v>
      </x:c>
      <x:c r="L97" s="14" t="str">
        <x:v>项目L2数据/运行模型及Java字段投影；实库 tables()</x:v>
      </x:c>
    </x:row>
    <x:row r="98" ht="45" customHeight="1">
      <x:c r="A98" s="2" t="str">
        <x:v>A股及国内配套</x:v>
      </x:c>
      <x:c r="B98" s="14" t="str">
        <x:v>Level2运行记录</x:v>
      </x:c>
      <x:c r="C98" s="14" t="str">
        <x:v>运行生成</x:v>
      </x:c>
      <x:c r="D98" s="14" t="str">
        <x:v>l2_live_micro_state_1m</x:v>
      </x:c>
      <x:c r="E98" s="14" t="str">
        <x:v>表</x:v>
      </x:c>
      <x:c r="F98" s="14" t="str">
        <x:v>盘口/成交聚合的一分钟微观状态</x:v>
      </x:c>
      <x:c r="G98" s="14" t="str">
        <x:v>L2处理链路、实时订阅及网关运行</x:v>
      </x:c>
      <x:c r="H98" s="14" t="str">
        <x:v>应用计算、登记或记录</x:v>
      </x:c>
      <x:c r="I98" s="23" t="n">
        <x:v>869433</x:v>
      </x:c>
      <x:c r="J98" s="14" t="str">
        <x:v>存在</x:v>
      </x:c>
      <x:c r="K98" s="14" t="str">
        <x:v>现存运行历史/状态。当前实时链路使用本地存储，不据表存在认定仍有写入。</x:v>
      </x:c>
      <x:c r="L98" s="14" t="str">
        <x:v>项目L2数据/运行模型及Java字段投影；实库 tables()</x:v>
      </x:c>
    </x:row>
    <x:row r="99" ht="45" customHeight="1">
      <x:c r="A99" s="2" t="str">
        <x:v>A股及国内配套</x:v>
      </x:c>
      <x:c r="B99" s="14" t="str">
        <x:v>Level2运行记录</x:v>
      </x:c>
      <x:c r="C99" s="14" t="str">
        <x:v>运行生成</x:v>
      </x:c>
      <x:c r="D99" s="14" t="str">
        <x:v>l2_live_subscription_events</x:v>
      </x:c>
      <x:c r="E99" s="14" t="str">
        <x:v>表</x:v>
      </x:c>
      <x:c r="F99" s="14" t="str">
        <x:v>实时行情订阅/退订执行事件</x:v>
      </x:c>
      <x:c r="G99" s="14" t="str">
        <x:v>L2处理链路、实时订阅及网关运行</x:v>
      </x:c>
      <x:c r="H99" s="14" t="str">
        <x:v>应用计算、登记或记录</x:v>
      </x:c>
      <x:c r="I99" s="23" t="n">
        <x:v>485075</x:v>
      </x:c>
      <x:c r="J99" s="14" t="str">
        <x:v>存在</x:v>
      </x:c>
      <x:c r="K99" s="14" t="str">
        <x:v>现存运行历史/状态。当前实时链路使用本地存储，不据表存在认定仍有写入。</x:v>
      </x:c>
      <x:c r="L99" s="14" t="str">
        <x:v>项目L2数据/运行模型及Java字段投影；实库 tables()</x:v>
      </x:c>
    </x:row>
    <x:row r="100" ht="45" customHeight="1">
      <x:c r="A100" s="2" t="str">
        <x:v>A股及国内配套</x:v>
      </x:c>
      <x:c r="B100" s="14" t="str">
        <x:v>Level2运行记录</x:v>
      </x:c>
      <x:c r="C100" s="14" t="str">
        <x:v>运行生成</x:v>
      </x:c>
      <x:c r="D100" s="14" t="str">
        <x:v>l2_live_subscription_intents</x:v>
      </x:c>
      <x:c r="E100" s="14" t="str">
        <x:v>表</x:v>
      </x:c>
      <x:c r="F100" s="14" t="str">
        <x:v>订阅意图、优先级、理由及有效期</x:v>
      </x:c>
      <x:c r="G100" s="14" t="str">
        <x:v>L2处理链路、实时订阅及网关运行</x:v>
      </x:c>
      <x:c r="H100" s="14" t="str">
        <x:v>应用计算、登记或记录</x:v>
      </x:c>
      <x:c r="I100" s="23" t="n">
        <x:v>99</x:v>
      </x:c>
      <x:c r="J100" s="14" t="str">
        <x:v>存在</x:v>
      </x:c>
      <x:c r="K100" s="14" t="str">
        <x:v>现存运行历史/状态。当前实时链路使用本地存储，不据表存在认定仍有写入。</x:v>
      </x:c>
      <x:c r="L100" s="14" t="str">
        <x:v>项目L2数据/运行模型及Java字段投影；实库 tables()</x:v>
      </x:c>
    </x:row>
    <x:row r="101" ht="45" customHeight="1">
      <x:c r="A101" s="2" t="str">
        <x:v>A股及国内配套</x:v>
      </x:c>
      <x:c r="B101" s="14" t="str">
        <x:v>估值/分析结果</x:v>
      </x:c>
      <x:c r="C101" s="14" t="str">
        <x:v>运行生成</x:v>
      </x:c>
      <x:c r="D101" s="14" t="str">
        <x:v>company_intrinsic_valuation_consensus</x:v>
      </x:c>
      <x:c r="E101" s="14" t="str">
        <x:v>表</x:v>
      </x:c>
      <x:c r="F101" s="14" t="str">
        <x:v>个股多模型内在价值共识</x:v>
      </x:c>
      <x:c r="G101" s="14" t="str">
        <x:v>财务、行情、行业归属及估值/研究程序</x:v>
      </x:c>
      <x:c r="H101" s="14" t="str">
        <x:v>应用计算、登记或记录</x:v>
      </x:c>
      <x:c r="I101" s="23" t="n">
        <x:v>4573049</x:v>
      </x:c>
      <x:c r="J101" s="14" t="str">
        <x:v>存在</x:v>
      </x:c>
      <x:c r="K101" s="14" t="str">
        <x:v>估值产品已转本地发布；这些是实库保留的历史结果/运行记录。</x:v>
      </x:c>
      <x:c r="L101" s="14" t="str">
        <x:v>项目估值目录及数据模型；实库分析内容抽样；存储归档清单</x:v>
      </x:c>
    </x:row>
    <x:row r="102" ht="45" customHeight="1">
      <x:c r="A102" s="2" t="str">
        <x:v>A股及国内配套</x:v>
      </x:c>
      <x:c r="B102" s="14" t="str">
        <x:v>估值/分析结果</x:v>
      </x:c>
      <x:c r="C102" s="14" t="str">
        <x:v>运行生成</x:v>
      </x:c>
      <x:c r="D102" s="14" t="str">
        <x:v>company_intrinsic_valuation_model</x:v>
      </x:c>
      <x:c r="E102" s="14" t="str">
        <x:v>表</x:v>
      </x:c>
      <x:c r="F102" s="14" t="str">
        <x:v>个股单模型内在价值结果</x:v>
      </x:c>
      <x:c r="G102" s="14" t="str">
        <x:v>财务、行情、行业归属及估值/研究程序</x:v>
      </x:c>
      <x:c r="H102" s="14" t="str">
        <x:v>应用计算、登记或记录</x:v>
      </x:c>
      <x:c r="I102" s="23" t="n">
        <x:v>15888188</x:v>
      </x:c>
      <x:c r="J102" s="14" t="str">
        <x:v>存在</x:v>
      </x:c>
      <x:c r="K102" s="14" t="str">
        <x:v>估值产品已转本地发布；这些是实库保留的历史结果/运行记录。</x:v>
      </x:c>
      <x:c r="L102" s="14" t="str">
        <x:v>项目估值目录及数据模型；实库分析内容抽样；存储归档清单</x:v>
      </x:c>
    </x:row>
    <x:row r="103" ht="45" customHeight="1">
      <x:c r="A103" s="2" t="str">
        <x:v>A股及国内配套</x:v>
      </x:c>
      <x:c r="B103" s="14" t="str">
        <x:v>估值/分析结果</x:v>
      </x:c>
      <x:c r="C103" s="14" t="str">
        <x:v>运行生成</x:v>
      </x:c>
      <x:c r="D103" s="14" t="str">
        <x:v>daily_stock_analysis</x:v>
      </x:c>
      <x:c r="E103" s="14" t="str">
        <x:v>表</x:v>
      </x:c>
      <x:c r="F103" s="14" t="str">
        <x:v>个股研究分析内容、证据包及模型名称</x:v>
      </x:c>
      <x:c r="G103" s="14" t="str">
        <x:v>财务、行情、行业归属及估值/研究程序</x:v>
      </x:c>
      <x:c r="H103" s="14" t="str">
        <x:v>应用计算、登记或记录</x:v>
      </x:c>
      <x:c r="I103" s="23" t="n">
        <x:v>5399</x:v>
      </x:c>
      <x:c r="J103" s="14" t="str">
        <x:v>存在</x:v>
      </x:c>
      <x:c r="K103" s="14" t="str">
        <x:v>实库抽样为研究证据包和分析结果。</x:v>
      </x:c>
      <x:c r="L103" s="14" t="str">
        <x:v>项目估值目录及数据模型；实库分析内容抽样；存储归档清单</x:v>
      </x:c>
    </x:row>
    <x:row r="104" ht="45" customHeight="1">
      <x:c r="A104" s="2" t="str">
        <x:v>A股及国内配套</x:v>
      </x:c>
      <x:c r="B104" s="14" t="str">
        <x:v>估值/分析结果</x:v>
      </x:c>
      <x:c r="C104" s="14" t="str">
        <x:v>运行生成</x:v>
      </x:c>
      <x:c r="D104" s="14" t="str">
        <x:v>industry_intrinsic_valuation_state</x:v>
      </x:c>
      <x:c r="E104" s="14" t="str">
        <x:v>表</x:v>
      </x:c>
      <x:c r="F104" s="14" t="str">
        <x:v>行业内在价值/估值状态聚合</x:v>
      </x:c>
      <x:c r="G104" s="14" t="str">
        <x:v>财务、行情、行业归属及估值/研究程序</x:v>
      </x:c>
      <x:c r="H104" s="14" t="str">
        <x:v>应用计算、登记或记录</x:v>
      </x:c>
      <x:c r="I104" s="23" t="n">
        <x:v>114101</x:v>
      </x:c>
      <x:c r="J104" s="14" t="str">
        <x:v>存在</x:v>
      </x:c>
      <x:c r="K104" s="14" t="str">
        <x:v>估值产品已转本地发布；这些是实库保留的历史结果/运行记录。</x:v>
      </x:c>
      <x:c r="L104" s="14" t="str">
        <x:v>项目估值目录及数据模型；实库分析内容抽样；存储归档清单</x:v>
      </x:c>
    </x:row>
    <x:row r="105" ht="45" customHeight="1">
      <x:c r="A105" s="2" t="str">
        <x:v>A股及国内配套</x:v>
      </x:c>
      <x:c r="B105" s="14" t="str">
        <x:v>估值/分析结果</x:v>
      </x:c>
      <x:c r="C105" s="14" t="str">
        <x:v>运行生成</x:v>
      </x:c>
      <x:c r="D105" s="14" t="str">
        <x:v>industry_valuation_materialization_run</x:v>
      </x:c>
      <x:c r="E105" s="14" t="str">
        <x:v>表</x:v>
      </x:c>
      <x:c r="F105" s="14" t="str">
        <x:v>行业估值计算运行记录</x:v>
      </x:c>
      <x:c r="G105" s="14" t="str">
        <x:v>财务、行情、行业归属及估值/研究程序</x:v>
      </x:c>
      <x:c r="H105" s="14" t="str">
        <x:v>应用计算、登记或记录</x:v>
      </x:c>
      <x:c r="I105" s="23" t="n">
        <x:v>91</x:v>
      </x:c>
      <x:c r="J105" s="14" t="str">
        <x:v>存在</x:v>
      </x:c>
      <x:c r="K105" s="14" t="str">
        <x:v>估值产品已转本地发布；这些是实库保留的历史结果/运行记录。</x:v>
      </x:c>
      <x:c r="L105" s="14" t="str">
        <x:v>项目估值目录及数据模型；实库分析内容抽样；存储归档清单</x:v>
      </x:c>
    </x:row>
    <x:row r="106" ht="45" customHeight="1">
      <x:c r="A106" s="2" t="str">
        <x:v>A股及国内配套</x:v>
      </x:c>
      <x:c r="B106" s="14" t="str">
        <x:v>估值/分析结果</x:v>
      </x:c>
      <x:c r="C106" s="14" t="str">
        <x:v>运行生成</x:v>
      </x:c>
      <x:c r="D106" s="14" t="str">
        <x:v>industry_valuation_membership_conflict</x:v>
      </x:c>
      <x:c r="E106" s="14" t="str">
        <x:v>表</x:v>
      </x:c>
      <x:c r="F106" s="14" t="str">
        <x:v>行业成员归属冲突记录</x:v>
      </x:c>
      <x:c r="G106" s="14" t="str">
        <x:v>财务、行情、行业归属及估值/研究程序</x:v>
      </x:c>
      <x:c r="H106" s="14" t="str">
        <x:v>应用计算、登记或记录</x:v>
      </x:c>
      <x:c r="I106" s="23" t="n">
        <x:v>2428</x:v>
      </x:c>
      <x:c r="J106" s="14" t="str">
        <x:v>存在</x:v>
      </x:c>
      <x:c r="K106" s="14" t="str">
        <x:v>估值产品已转本地发布；这些是实库保留的历史结果/运行记录。</x:v>
      </x:c>
      <x:c r="L106" s="14" t="str">
        <x:v>项目估值目录及数据模型；实库分析内容抽样；存储归档清单</x:v>
      </x:c>
    </x:row>
    <x:row r="107" ht="45" customHeight="1">
      <x:c r="A107" s="2" t="str">
        <x:v>A股及国内配套</x:v>
      </x:c>
      <x:c r="B107" s="14" t="str">
        <x:v>估值/分析结果</x:v>
      </x:c>
      <x:c r="C107" s="14" t="str">
        <x:v>运行生成</x:v>
      </x:c>
      <x:c r="D107" s="14" t="str">
        <x:v>industry_valuation_route_assignment</x:v>
      </x:c>
      <x:c r="E107" s="14" t="str">
        <x:v>表</x:v>
      </x:c>
      <x:c r="F107" s="14" t="str">
        <x:v>估值模型路由分配</x:v>
      </x:c>
      <x:c r="G107" s="14" t="str">
        <x:v>财务、行情、行业归属及估值/研究程序</x:v>
      </x:c>
      <x:c r="H107" s="14" t="str">
        <x:v>应用计算、登记或记录</x:v>
      </x:c>
      <x:c r="I107" s="23" t="n">
        <x:v>465</x:v>
      </x:c>
      <x:c r="J107" s="14" t="str">
        <x:v>存在</x:v>
      </x:c>
      <x:c r="K107" s="14" t="str">
        <x:v>估值产品已转本地发布；这些是实库保留的历史结果/运行记录。</x:v>
      </x:c>
      <x:c r="L107" s="14" t="str">
        <x:v>项目估值目录及数据模型；实库分析内容抽样；存储归档清单</x:v>
      </x:c>
    </x:row>
    <x:row r="108" ht="45" customHeight="1">
      <x:c r="A108" s="2" t="str">
        <x:v>A股及国内配套</x:v>
      </x:c>
      <x:c r="B108" s="14" t="str">
        <x:v>发布暂存</x:v>
      </x:c>
      <x:c r="C108" s="14" t="str">
        <x:v>运行生成</x:v>
      </x:c>
      <x:c r="D108" s="14" t="str">
        <x:v>java_stk_suspend_stage_1021407e1c7345069c82e7abe99078c0</x:v>
      </x:c>
      <x:c r="E108" s="14" t="str">
        <x:v>表</x:v>
      </x:c>
      <x:c r="F108" s="14" t="str">
        <x:v>停牌表发布过程的暂存副本</x:v>
      </x:c>
      <x:c r="G108" s="14" t="str">
        <x:v>stk_suspend来源发布/替换流程</x:v>
      </x:c>
      <x:c r="H108" s="14" t="str">
        <x:v>应用发布流程创建/切换</x:v>
      </x:c>
      <x:c r="I108" s="23" t="n">
        <x:v>128494</x:v>
      </x:c>
      <x:c r="J108" s="14" t="str">
        <x:v>存在</x:v>
      </x:c>
      <x:c r="K108" s="14" t="str">
        <x:v>发布过程对象，不是独立采集数据源；是否可清理需结合对应发布账本。</x:v>
      </x:c>
      <x:c r="L108" s="14" t="str">
        <x:v>Java停牌发布状态及暂存命名合同；实库 tables()</x:v>
      </x:c>
    </x:row>
    <x:row r="109" ht="45" customHeight="1">
      <x:c r="A109" s="2" t="str">
        <x:v>A股及国内配套</x:v>
      </x:c>
      <x:c r="B109" s="14" t="str">
        <x:v>宏观/风格衍生结果</x:v>
      </x:c>
      <x:c r="C109" s="14" t="str">
        <x:v>运行生成</x:v>
      </x:c>
      <x:c r="D109" s="14" t="str">
        <x:v>equity_style_monthly</x:v>
      </x:c>
      <x:c r="E109" s="14" t="str">
        <x:v>表</x:v>
      </x:c>
      <x:c r="F109" s="14" t="str">
        <x:v>权益风格及行业相对收益月频特征</x:v>
      </x:c>
      <x:c r="G109" s="14" t="str">
        <x:v>股票/指数行情、宏观数据、资金及L2特征的程序计算</x:v>
      </x:c>
      <x:c r="H109" s="14" t="str">
        <x:v>应用计算、登记或记录</x:v>
      </x:c>
      <x:c r="I109" s="23" t="n">
        <x:v>198</x:v>
      </x:c>
      <x:c r="J109" s="14" t="str">
        <x:v>存在</x:v>
      </x:c>
      <x:c r="K109" s="14" t="str">
        <x:v>物理类型为表。部分当前产品已改用本地发布，库中保留历史结果。</x:v>
      </x:c>
      <x:c r="L109" s="14" t="str">
        <x:v>项目计算/结果数据模型；实库 tables()</x:v>
      </x:c>
    </x:row>
    <x:row r="110" ht="45" customHeight="1">
      <x:c r="A110" s="2" t="str">
        <x:v>A股及国内配套</x:v>
      </x:c>
      <x:c r="B110" s="14" t="str">
        <x:v>宏观/风格衍生结果</x:v>
      </x:c>
      <x:c r="C110" s="14" t="str">
        <x:v>运行生成</x:v>
      </x:c>
      <x:c r="D110" s="14" t="str">
        <x:v>macro_core_monthly</x:v>
      </x:c>
      <x:c r="E110" s="14" t="str">
        <x:v>表</x:v>
      </x:c>
      <x:c r="F110" s="14" t="str">
        <x:v>核心宏观月频特征宽表</x:v>
      </x:c>
      <x:c r="G110" s="14" t="str">
        <x:v>股票/指数行情、宏观数据、资金及L2特征的程序计算</x:v>
      </x:c>
      <x:c r="H110" s="14" t="str">
        <x:v>应用计算、登记或记录</x:v>
      </x:c>
      <x:c r="I110" s="23" t="n">
        <x:v>200</x:v>
      </x:c>
      <x:c r="J110" s="14" t="str">
        <x:v>存在</x:v>
      </x:c>
      <x:c r="K110" s="14" t="str">
        <x:v>物理类型为表。部分当前产品已改用本地发布，库中保留历史结果。</x:v>
      </x:c>
      <x:c r="L110" s="14" t="str">
        <x:v>项目计算/结果数据模型；实库 tables()</x:v>
      </x:c>
    </x:row>
    <x:row r="111" ht="45" customHeight="1">
      <x:c r="A111" s="2" t="str">
        <x:v>A股及国内配套</x:v>
      </x:c>
      <x:c r="B111" s="14" t="str">
        <x:v>宏观/风格衍生结果</x:v>
      </x:c>
      <x:c r="C111" s="14" t="str">
        <x:v>运行生成</x:v>
      </x:c>
      <x:c r="D111" s="14" t="str">
        <x:v>macro_liquidity_credit_monthly</x:v>
      </x:c>
      <x:c r="E111" s="14" t="str">
        <x:v>表</x:v>
      </x:c>
      <x:c r="F111" s="14" t="str">
        <x:v>流动性、信用及汇率月频特征</x:v>
      </x:c>
      <x:c r="G111" s="14" t="str">
        <x:v>股票/指数行情、宏观数据、资金及L2特征的程序计算</x:v>
      </x:c>
      <x:c r="H111" s="14" t="str">
        <x:v>应用计算、登记或记录</x:v>
      </x:c>
      <x:c r="I111" s="23" t="n">
        <x:v>201</x:v>
      </x:c>
      <x:c r="J111" s="14" t="str">
        <x:v>存在</x:v>
      </x:c>
      <x:c r="K111" s="14" t="str">
        <x:v>物理类型为表。部分当前产品已改用本地发布，库中保留历史结果。</x:v>
      </x:c>
      <x:c r="L111" s="14" t="str">
        <x:v>项目计算/结果数据模型；实库 tables()</x:v>
      </x:c>
    </x:row>
    <x:row r="112" ht="45" customHeight="1">
      <x:c r="A112" s="2" t="str">
        <x:v>A股及国内配套</x:v>
      </x:c>
      <x:c r="B112" s="14" t="str">
        <x:v>宏观/风格衍生结果</x:v>
      </x:c>
      <x:c r="C112" s="14" t="str">
        <x:v>运行生成</x:v>
      </x:c>
      <x:c r="D112" s="14" t="str">
        <x:v>market_breadth_monthly</x:v>
      </x:c>
      <x:c r="E112" s="14" t="str">
        <x:v>表</x:v>
      </x:c>
      <x:c r="F112" s="14" t="str">
        <x:v>月频市场广度特征</x:v>
      </x:c>
      <x:c r="G112" s="14" t="str">
        <x:v>股票/指数行情、宏观数据、资金及L2特征的程序计算</x:v>
      </x:c>
      <x:c r="H112" s="14" t="str">
        <x:v>应用计算、登记或记录</x:v>
      </x:c>
      <x:c r="I112" s="23" t="n">
        <x:v>201</x:v>
      </x:c>
      <x:c r="J112" s="14" t="str">
        <x:v>存在</x:v>
      </x:c>
      <x:c r="K112" s="14" t="str">
        <x:v>物理类型为表。部分当前产品已改用本地发布，库中保留历史结果。</x:v>
      </x:c>
      <x:c r="L112" s="14" t="str">
        <x:v>项目计算/结果数据模型；实库 tables()</x:v>
      </x:c>
    </x:row>
    <x:row r="113" ht="45" customHeight="1">
      <x:c r="A113" s="2" t="str">
        <x:v>A股及国内配套</x:v>
      </x:c>
      <x:c r="B113" s="14" t="str">
        <x:v>宏观/风格衍生结果</x:v>
      </x:c>
      <x:c r="C113" s="14" t="str">
        <x:v>运行生成</x:v>
      </x:c>
      <x:c r="D113" s="14" t="str">
        <x:v>market_sentiment_daily</x:v>
      </x:c>
      <x:c r="E113" s="14" t="str">
        <x:v>表</x:v>
      </x:c>
      <x:c r="F113" s="14" t="str">
        <x:v>结构化日频市场情绪指标</x:v>
      </x:c>
      <x:c r="G113" s="14" t="str">
        <x:v>股票/指数行情、宏观数据、资金及L2特征的程序计算</x:v>
      </x:c>
      <x:c r="H113" s="14" t="str">
        <x:v>应用计算、登记或记录</x:v>
      </x:c>
      <x:c r="I113" s="23" t="n">
        <x:v>106</x:v>
      </x:c>
      <x:c r="J113" s="14" t="str">
        <x:v>存在</x:v>
      </x:c>
      <x:c r="K113" s="14" t="str">
        <x:v>物理类型为表。部分当前产品已改用本地发布，库中保留历史结果。</x:v>
      </x:c>
      <x:c r="L113" s="14" t="str">
        <x:v>项目计算/结果数据模型；实库 tables()</x:v>
      </x:c>
    </x:row>
    <x:row r="114" ht="45" customHeight="1">
      <x:c r="A114" s="2" t="str">
        <x:v>A股及国内配套</x:v>
      </x:c>
      <x:c r="B114" s="14" t="str">
        <x:v>宏观/风格衍生结果</x:v>
      </x:c>
      <x:c r="C114" s="14" t="str">
        <x:v>运行生成</x:v>
      </x:c>
      <x:c r="D114" s="14" t="str">
        <x:v>regime_features_monitor_daily</x:v>
      </x:c>
      <x:c r="E114" s="14" t="str">
        <x:v>表</x:v>
      </x:c>
      <x:c r="F114" s="14" t="str">
        <x:v>市场状态/风格日频监控特征</x:v>
      </x:c>
      <x:c r="G114" s="14" t="str">
        <x:v>股票/指数行情、宏观数据、资金及L2特征的程序计算</x:v>
      </x:c>
      <x:c r="H114" s="14" t="str">
        <x:v>应用计算、登记或记录</x:v>
      </x:c>
      <x:c r="I114" s="23" t="n">
        <x:v>668</x:v>
      </x:c>
      <x:c r="J114" s="14" t="str">
        <x:v>存在</x:v>
      </x:c>
      <x:c r="K114" s="14" t="str">
        <x:v>物理类型为表。部分当前产品已改用本地发布，库中保留历史结果。</x:v>
      </x:c>
      <x:c r="L114" s="14" t="str">
        <x:v>项目计算/结果数据模型；实库 tables()</x:v>
      </x:c>
    </x:row>
    <x:row r="115" ht="45" customHeight="1">
      <x:c r="A115" s="2" t="str">
        <x:v>A股及国内配套</x:v>
      </x:c>
      <x:c r="B115" s="14" t="str">
        <x:v>宏观/风格衍生结果</x:v>
      </x:c>
      <x:c r="C115" s="14" t="str">
        <x:v>运行生成</x:v>
      </x:c>
      <x:c r="D115" s="14" t="str">
        <x:v>regime_features_monthly</x:v>
      </x:c>
      <x:c r="E115" s="14" t="str">
        <x:v>表</x:v>
      </x:c>
      <x:c r="F115" s="14" t="str">
        <x:v>月频市场状态特征宽表</x:v>
      </x:c>
      <x:c r="G115" s="14" t="str">
        <x:v>股票/指数行情、宏观数据、资金及L2特征的程序计算</x:v>
      </x:c>
      <x:c r="H115" s="14" t="str">
        <x:v>应用计算、登记或记录</x:v>
      </x:c>
      <x:c r="I115" s="23" t="n">
        <x:v>201</x:v>
      </x:c>
      <x:c r="J115" s="14" t="str">
        <x:v>存在</x:v>
      </x:c>
      <x:c r="K115" s="14" t="str">
        <x:v>物理类型为表。部分当前产品已改用本地发布，库中保留历史结果。</x:v>
      </x:c>
      <x:c r="L115" s="14" t="str">
        <x:v>项目计算/结果数据模型；实库 tables()</x:v>
      </x:c>
    </x:row>
    <x:row r="116" ht="45" customHeight="1">
      <x:c r="A116" s="2" t="str">
        <x:v>A股及国内配套</x:v>
      </x:c>
      <x:c r="B116" s="14" t="str">
        <x:v>宏观/风格衍生结果</x:v>
      </x:c>
      <x:c r="C116" s="14" t="str">
        <x:v>运行生成</x:v>
      </x:c>
      <x:c r="D116" s="14" t="str">
        <x:v>regime_market_monthly</x:v>
      </x:c>
      <x:c r="E116" s="14" t="str">
        <x:v>表</x:v>
      </x:c>
      <x:c r="F116" s="14" t="str">
        <x:v>A股市场状态补充特征</x:v>
      </x:c>
      <x:c r="G116" s="14" t="str">
        <x:v>股票/指数行情、宏观数据、资金及L2特征的程序计算</x:v>
      </x:c>
      <x:c r="H116" s="14" t="str">
        <x:v>应用计算、登记或记录</x:v>
      </x:c>
      <x:c r="I116" s="23" t="n">
        <x:v>201</x:v>
      </x:c>
      <x:c r="J116" s="14" t="str">
        <x:v>存在</x:v>
      </x:c>
      <x:c r="K116" s="14" t="str">
        <x:v>物理类型为表。部分当前产品已改用本地发布，库中保留历史结果。</x:v>
      </x:c>
      <x:c r="L116" s="14" t="str">
        <x:v>项目计算/结果数据模型；实库 tables()</x:v>
      </x:c>
    </x:row>
    <x:row r="117" ht="45" customHeight="1">
      <x:c r="A117" s="2" t="str">
        <x:v>A股及国内配套</x:v>
      </x:c>
      <x:c r="B117" s="14" t="str">
        <x:v>市场状态结果/证据</x:v>
      </x:c>
      <x:c r="C117" s="14" t="str">
        <x:v>运行生成</x:v>
      </x:c>
      <x:c r="D117" s="14" t="str">
        <x:v>regime_display_materialization_run</x:v>
      </x:c>
      <x:c r="E117" s="14" t="str">
        <x:v>表</x:v>
      </x:c>
      <x:c r="F117" s="14" t="str">
        <x:v>市场状态展示物化运行记录</x:v>
      </x:c>
      <x:c r="G117" s="14" t="str">
        <x:v>行情/两融/估值输入、质量核验及展示计算</x:v>
      </x:c>
      <x:c r="H117" s="14" t="str">
        <x:v>应用计算、登记或记录</x:v>
      </x:c>
      <x:c r="I117" s="23" t="n">
        <x:v>16</x:v>
      </x:c>
      <x:c r="J117" s="14" t="str">
        <x:v>存在</x:v>
      </x:c>
      <x:c r="K117" s="14" t="str"/>
      <x:c r="L117" s="14" t="str">
        <x:v>项目计算/结果数据模型；实库 tables()</x:v>
      </x:c>
    </x:row>
    <x:row r="118" ht="45" customHeight="1">
      <x:c r="A118" s="2" t="str">
        <x:v>A股及国内配套</x:v>
      </x:c>
      <x:c r="B118" s="14" t="str">
        <x:v>市场状态结果/证据</x:v>
      </x:c>
      <x:c r="C118" s="14" t="str">
        <x:v>运行生成</x:v>
      </x:c>
      <x:c r="D118" s="14" t="str">
        <x:v>regime_erp_source_status_daily</x:v>
      </x:c>
      <x:c r="E118" s="14" t="str">
        <x:v>表</x:v>
      </x:c>
      <x:c r="F118" s="14" t="str">
        <x:v>股权风险溢价来源可用性及质量检查</x:v>
      </x:c>
      <x:c r="G118" s="14" t="str">
        <x:v>行情/两融/估值输入、质量核验及展示计算</x:v>
      </x:c>
      <x:c r="H118" s="14" t="str">
        <x:v>应用计算、登记或记录</x:v>
      </x:c>
      <x:c r="I118" s="23" t="n">
        <x:v>1</x:v>
      </x:c>
      <x:c r="J118" s="14" t="str">
        <x:v>存在</x:v>
      </x:c>
      <x:c r="K118" s="14" t="str"/>
      <x:c r="L118" s="14" t="str">
        <x:v>项目计算/结果数据模型；实库 tables()</x:v>
      </x:c>
    </x:row>
    <x:row r="119" ht="45" customHeight="1">
      <x:c r="A119" s="2" t="str">
        <x:v>A股及国内配套</x:v>
      </x:c>
      <x:c r="B119" s="14" t="str">
        <x:v>市场状态结果/证据</x:v>
      </x:c>
      <x:c r="C119" s="14" t="str">
        <x:v>运行生成</x:v>
      </x:c>
      <x:c r="D119" s="14" t="str">
        <x:v>regime_ma200_breadth_daily</x:v>
      </x:c>
      <x:c r="E119" s="14" t="str">
        <x:v>表</x:v>
      </x:c>
      <x:c r="F119" s="14" t="str">
        <x:v>MA200市场广度指标</x:v>
      </x:c>
      <x:c r="G119" s="14" t="str">
        <x:v>行情/两融/估值输入、质量核验及展示计算</x:v>
      </x:c>
      <x:c r="H119" s="14" t="str">
        <x:v>应用计算、登记或记录</x:v>
      </x:c>
      <x:c r="I119" s="23" t="n">
        <x:v>1211</x:v>
      </x:c>
      <x:c r="J119" s="14" t="str">
        <x:v>存在</x:v>
      </x:c>
      <x:c r="K119" s="14" t="str"/>
      <x:c r="L119" s="14" t="str">
        <x:v>项目计算/结果数据模型；实库 tables()</x:v>
      </x:c>
    </x:row>
    <x:row r="120" ht="45" customHeight="1">
      <x:c r="A120" s="2" t="str">
        <x:v>A股及国内配套</x:v>
      </x:c>
      <x:c r="B120" s="14" t="str">
        <x:v>市场状态结果/证据</x:v>
      </x:c>
      <x:c r="C120" s="14" t="str">
        <x:v>运行生成</x:v>
      </x:c>
      <x:c r="D120" s="14" t="str">
        <x:v>regime_margin_leverage_daily</x:v>
      </x:c>
      <x:c r="E120" s="14" t="str">
        <x:v>表</x:v>
      </x:c>
      <x:c r="F120" s="14" t="str">
        <x:v>融资杠杆/两融状态指标</x:v>
      </x:c>
      <x:c r="G120" s="14" t="str">
        <x:v>行情/两融/估值输入、质量核验及展示计算</x:v>
      </x:c>
      <x:c r="H120" s="14" t="str">
        <x:v>应用计算、登记或记录</x:v>
      </x:c>
      <x:c r="I120" s="23" t="n">
        <x:v>866</x:v>
      </x:c>
      <x:c r="J120" s="14" t="str">
        <x:v>存在</x:v>
      </x:c>
      <x:c r="K120" s="14" t="str"/>
      <x:c r="L120" s="14" t="str">
        <x:v>项目计算/结果数据模型；实库 tables()</x:v>
      </x:c>
    </x:row>
    <x:row r="121" ht="45" customHeight="1">
      <x:c r="A121" s="2" t="str">
        <x:v>A股及国内配套</x:v>
      </x:c>
      <x:c r="B121" s="14" t="str">
        <x:v>市场状态结果/证据</x:v>
      </x:c>
      <x:c r="C121" s="14" t="str">
        <x:v>运行生成</x:v>
      </x:c>
      <x:c r="D121" s="14" t="str">
        <x:v>regime_stock_return_distribution_daily</x:v>
      </x:c>
      <x:c r="E121" s="14" t="str">
        <x:v>表</x:v>
      </x:c>
      <x:c r="F121" s="14" t="str">
        <x:v>股票日收益分布指标</x:v>
      </x:c>
      <x:c r="G121" s="14" t="str">
        <x:v>行情/两融/估值输入、质量核验及展示计算</x:v>
      </x:c>
      <x:c r="H121" s="14" t="str">
        <x:v>应用计算、登记或记录</x:v>
      </x:c>
      <x:c r="I121" s="23" t="n">
        <x:v>14</x:v>
      </x:c>
      <x:c r="J121" s="14" t="str">
        <x:v>存在</x:v>
      </x:c>
      <x:c r="K121" s="14" t="str"/>
      <x:c r="L121" s="14" t="str">
        <x:v>项目计算/结果数据模型；实库 tables()</x:v>
      </x:c>
    </x:row>
    <x:row r="122" ht="45" customHeight="1">
      <x:c r="A122" s="2" t="str">
        <x:v>A股及国内配套</x:v>
      </x:c>
      <x:c r="B122" s="14" t="str">
        <x:v>股指期货研判</x:v>
      </x:c>
      <x:c r="C122" s="14" t="str">
        <x:v>运行生成</x:v>
      </x:c>
      <x:c r="D122" s="14" t="str">
        <x:v>fut_index_conclusion_daily</x:v>
      </x:c>
      <x:c r="E122" s="14" t="str">
        <x:v>表</x:v>
      </x:c>
      <x:c r="F122" s="14" t="str">
        <x:v>股指期货研判结论</x:v>
      </x:c>
      <x:c r="G122" s="14" t="str">
        <x:v>期货行情、映射、持仓及现货指数的程序分析</x:v>
      </x:c>
      <x:c r="H122" s="14" t="str">
        <x:v>应用计算、登记或记录</x:v>
      </x:c>
      <x:c r="I122" s="23" t="n">
        <x:v>528</x:v>
      </x:c>
      <x:c r="J122" s="14" t="str">
        <x:v>存在</x:v>
      </x:c>
      <x:c r="K122" s="14" t="str"/>
      <x:c r="L122" s="14" t="str">
        <x:v>项目计算/结果数据模型；实库 tables()</x:v>
      </x:c>
    </x:row>
    <x:row r="123" ht="45" customHeight="1">
      <x:c r="A123" s="2" t="str">
        <x:v>A股及国内配套</x:v>
      </x:c>
      <x:c r="B123" s="14" t="str">
        <x:v>股指期货研判</x:v>
      </x:c>
      <x:c r="C123" s="14" t="str">
        <x:v>运行生成</x:v>
      </x:c>
      <x:c r="D123" s="14" t="str">
        <x:v>fut_index_daily_snapshot</x:v>
      </x:c>
      <x:c r="E123" s="14" t="str">
        <x:v>表</x:v>
      </x:c>
      <x:c r="F123" s="14" t="str">
        <x:v>期货与现货锚的分析快照</x:v>
      </x:c>
      <x:c r="G123" s="14" t="str">
        <x:v>期货行情、映射、持仓及现货指数的程序分析</x:v>
      </x:c>
      <x:c r="H123" s="14" t="str">
        <x:v>应用计算、登记或记录</x:v>
      </x:c>
      <x:c r="I123" s="23" t="n">
        <x:v>528</x:v>
      </x:c>
      <x:c r="J123" s="14" t="str">
        <x:v>存在</x:v>
      </x:c>
      <x:c r="K123" s="14" t="str"/>
      <x:c r="L123" s="14" t="str">
        <x:v>项目计算/结果数据模型；实库 tables()</x:v>
      </x:c>
    </x:row>
    <x:row r="124" ht="45" customHeight="1">
      <x:c r="A124" s="2" t="str">
        <x:v>A股及国内配套</x:v>
      </x:c>
      <x:c r="B124" s="14" t="str">
        <x:v>股指期货研判</x:v>
      </x:c>
      <x:c r="C124" s="14" t="str">
        <x:v>运行生成</x:v>
      </x:c>
      <x:c r="D124" s="14" t="str">
        <x:v>fut_index_signal_daily</x:v>
      </x:c>
      <x:c r="E124" s="14" t="str">
        <x:v>表</x:v>
      </x:c>
      <x:c r="F124" s="14" t="str">
        <x:v>股指期货研判信号</x:v>
      </x:c>
      <x:c r="G124" s="14" t="str">
        <x:v>期货行情、映射、持仓及现货指数的程序分析</x:v>
      </x:c>
      <x:c r="H124" s="14" t="str">
        <x:v>应用计算、登记或记录</x:v>
      </x:c>
      <x:c r="I124" s="23" t="n">
        <x:v>528</x:v>
      </x:c>
      <x:c r="J124" s="14" t="str">
        <x:v>存在</x:v>
      </x:c>
      <x:c r="K124" s="14" t="str"/>
      <x:c r="L124" s="14" t="str">
        <x:v>项目计算/结果数据模型；实库 tables()</x:v>
      </x:c>
    </x:row>
    <x:row r="125" ht="45" customHeight="1">
      <x:c r="A125" s="2" t="str">
        <x:v>A股及国内配套</x:v>
      </x:c>
      <x:c r="B125" s="14" t="str">
        <x:v>跟踪配置</x:v>
      </x:c>
      <x:c r="C125" s="14" t="str">
        <x:v>运行生成</x:v>
      </x:c>
      <x:c r="D125" s="14" t="str">
        <x:v>tracked_symbols</x:v>
      </x:c>
      <x:c r="E125" s="14" t="str">
        <x:v>表</x:v>
      </x:c>
      <x:c r="F125" s="14" t="str">
        <x:v>策略/实盘维护的跟踪证券及配置</x:v>
      </x:c>
      <x:c r="G125" s="14" t="str">
        <x:v>应用配置、观察名单及实盘持仓</x:v>
      </x:c>
      <x:c r="H125" s="14" t="str">
        <x:v>应用计算、登记或记录</x:v>
      </x:c>
      <x:c r="I125" s="23" t="n">
        <x:v>94</x:v>
      </x:c>
      <x:c r="J125" s="14" t="str">
        <x:v>存在</x:v>
      </x:c>
      <x:c r="K125" s="14" t="str">
        <x:v>当前已迁至本地存储；QuestDB保留旧记录。</x:v>
      </x:c>
      <x:c r="L125" s="14" t="str">
        <x:v>项目本地跟踪存储及旧QMT合同；实库 tables()</x:v>
      </x:c>
    </x:row>
    <x:row r="126" ht="45" customHeight="1">
      <x:c r="A126" s="2" t="str">
        <x:v>共用/跨市场</x:v>
      </x:c>
      <x:c r="B126" s="14" t="str">
        <x:v>全球宏观事件</x:v>
      </x:c>
      <x:c r="C126" s="14" t="str">
        <x:v>采集</x:v>
      </x:c>
      <x:c r="D126" s="14" t="str">
        <x:v>eco_cal</x:v>
      </x:c>
      <x:c r="E126" s="14" t="str">
        <x:v>表</x:v>
      </x:c>
      <x:c r="F126" s="14" t="str">
        <x:v>全球财经事件、实际值、前值及预期值</x:v>
      </x:c>
      <x:c r="G126" s="14" t="str">
        <x:v>Tushare eco_cal</x:v>
      </x:c>
      <x:c r="H126" s="14" t="str">
        <x:v>来源采集/文件导入</x:v>
      </x:c>
      <x:c r="I126" s="23" t="n">
        <x:v>248673</x:v>
      </x:c>
      <x:c r="J126" s="14" t="str">
        <x:v>存在</x:v>
      </x:c>
      <x:c r="K126" s="14" t="str">
        <x:v>含国家/货币维度，供不同市场共享。</x:v>
      </x:c>
      <x:c r="L126" s="14" t="str">
        <x:v>项目外部源合同及数据模型；实库 tables()</x:v>
      </x:c>
    </x:row>
    <x:row r="127" ht="45" customHeight="1">
      <x:c r="A127" s="2" t="str">
        <x:v>共用/跨市场</x:v>
      </x:c>
      <x:c r="B127" s="14" t="str">
        <x:v>日历</x:v>
      </x:c>
      <x:c r="C127" s="14" t="str">
        <x:v>采集</x:v>
      </x:c>
      <x:c r="D127" s="14" t="str">
        <x:v>exchange_calendar</x:v>
      </x:c>
      <x:c r="E127" s="14" t="str">
        <x:v>表</x:v>
      </x:c>
      <x:c r="F127" s="14" t="str">
        <x:v>交易所开闭市及前一交易日日历</x:v>
      </x:c>
      <x:c r="G127" s="14" t="str">
        <x:v>Tushare交易日历接口</x:v>
      </x:c>
      <x:c r="H127" s="14" t="str">
        <x:v>来源采集/文件导入</x:v>
      </x:c>
      <x:c r="I127" s="23" t="n">
        <x:v>26668</x:v>
      </x:c>
      <x:c r="J127" s="14" t="str">
        <x:v>存在</x:v>
      </x:c>
      <x:c r="K127" s="14" t="str"/>
      <x:c r="L127" s="14" t="str">
        <x:v>项目外部源合同及数据模型；实库 tables()</x:v>
      </x:c>
    </x:row>
    <x:row r="128" ht="45" customHeight="1">
      <x:c r="A128" s="2" t="str">
        <x:v>共用/跨市场</x:v>
      </x:c>
      <x:c r="B128" s="14" t="str">
        <x:v>因子/模型平台</x:v>
      </x:c>
      <x:c r="C128" s="14" t="str">
        <x:v>运行生成</x:v>
      </x:c>
      <x:c r="D128" s="14" t="str">
        <x:v>factor_catalog</x:v>
      </x:c>
      <x:c r="E128" s="14" t="str">
        <x:v>表</x:v>
      </x:c>
      <x:c r="F128" s="14" t="str">
        <x:v>因子目录/定义发布记录</x:v>
      </x:c>
      <x:c r="G128" s="14" t="str">
        <x:v>价格、财务、宏观及L2等输入的因子计算、定义登记和评价任务</x:v>
      </x:c>
      <x:c r="H128" s="14" t="str">
        <x:v>应用计算、登记或记录</x:v>
      </x:c>
      <x:c r="I128" s="23" t="n">
        <x:v>233</x:v>
      </x:c>
      <x:c r="J128" s="14" t="str">
        <x:v>存在</x:v>
      </x:c>
      <x:c r="K128" s="14" t="str">
        <x:v>跨资产共用结构；不根据表名将整表限定为某个市场。部分产品当前使用本地发布。</x:v>
      </x:c>
      <x:c r="L128" s="14" t="str">
        <x:v>项目规范化因子/模型合同及存储归档清单；实库 tables()</x:v>
      </x:c>
    </x:row>
    <x:row r="129" ht="45" customHeight="1">
      <x:c r="A129" s="2" t="str">
        <x:v>共用/跨市场</x:v>
      </x:c>
      <x:c r="B129" s="14" t="str">
        <x:v>因子/模型平台</x:v>
      </x:c>
      <x:c r="C129" s="14" t="str">
        <x:v>运行生成</x:v>
      </x:c>
      <x:c r="D129" s="14" t="str">
        <x:v>factor_corr_snapshot</x:v>
      </x:c>
      <x:c r="E129" s="14" t="str">
        <x:v>表</x:v>
      </x:c>
      <x:c r="F129" s="14" t="str">
        <x:v>因子相关性及冗余快照</x:v>
      </x:c>
      <x:c r="G129" s="14" t="str">
        <x:v>价格、财务、宏观及L2等输入的因子计算、定义登记和评价任务</x:v>
      </x:c>
      <x:c r="H129" s="14" t="str">
        <x:v>应用计算、登记或记录</x:v>
      </x:c>
      <x:c r="I129" s="23" t="n">
        <x:v>92</x:v>
      </x:c>
      <x:c r="J129" s="14" t="str">
        <x:v>存在</x:v>
      </x:c>
      <x:c r="K129" s="14" t="str">
        <x:v>跨资产共用结构；不根据表名将整表限定为某个市场。部分产品当前使用本地发布。</x:v>
      </x:c>
      <x:c r="L129" s="14" t="str">
        <x:v>项目规范化因子/模型合同及存储归档清单；实库 tables()</x:v>
      </x:c>
    </x:row>
    <x:row r="130" ht="45" customHeight="1">
      <x:c r="A130" s="2" t="str">
        <x:v>共用/跨市场</x:v>
      </x:c>
      <x:c r="B130" s="14" t="str">
        <x:v>因子/模型平台</x:v>
      </x:c>
      <x:c r="C130" s="14" t="str">
        <x:v>运行生成</x:v>
      </x:c>
      <x:c r="D130" s="14" t="str">
        <x:v>factor_daily_metric</x:v>
      </x:c>
      <x:c r="E130" s="14" t="str">
        <x:v>表</x:v>
      </x:c>
      <x:c r="F130" s="14" t="str">
        <x:v>日频因子评价指标</x:v>
      </x:c>
      <x:c r="G130" s="14" t="str">
        <x:v>价格、财务、宏观及L2等输入的因子计算、定义登记和评价任务</x:v>
      </x:c>
      <x:c r="H130" s="14" t="str">
        <x:v>应用计算、登记或记录</x:v>
      </x:c>
      <x:c r="I130" s="23" t="n">
        <x:v>69527</x:v>
      </x:c>
      <x:c r="J130" s="14" t="str">
        <x:v>存在</x:v>
      </x:c>
      <x:c r="K130" s="14" t="str">
        <x:v>项目存储清单标记为只读历史归档；当前产品使用本地发布。</x:v>
      </x:c>
      <x:c r="L130" s="14" t="str">
        <x:v>项目规范化因子/模型合同及存储归档清单；实库 tables()</x:v>
      </x:c>
    </x:row>
    <x:row r="131" ht="45" customHeight="1">
      <x:c r="A131" s="2" t="str">
        <x:v>共用/跨市场</x:v>
      </x:c>
      <x:c r="B131" s="14" t="str">
        <x:v>因子/模型平台</x:v>
      </x:c>
      <x:c r="C131" s="14" t="str">
        <x:v>运行生成</x:v>
      </x:c>
      <x:c r="D131" s="14" t="str">
        <x:v>factor_definition</x:v>
      </x:c>
      <x:c r="E131" s="14" t="str">
        <x:v>表</x:v>
      </x:c>
      <x:c r="F131" s="14" t="str">
        <x:v>因子的版本化定义</x:v>
      </x:c>
      <x:c r="G131" s="14" t="str">
        <x:v>价格、财务、宏观及L2等输入的因子计算、定义登记和评价任务</x:v>
      </x:c>
      <x:c r="H131" s="14" t="str">
        <x:v>应用计算、登记或记录</x:v>
      </x:c>
      <x:c r="I131" s="23" t="n">
        <x:v>1550</x:v>
      </x:c>
      <x:c r="J131" s="14" t="str">
        <x:v>存在</x:v>
      </x:c>
      <x:c r="K131" s="14" t="str">
        <x:v>跨资产共用结构；不根据表名将整表限定为某个市场。部分产品当前使用本地发布。</x:v>
      </x:c>
      <x:c r="L131" s="14" t="str">
        <x:v>项目规范化因子/模型合同及存储归档清单；实库 tables()</x:v>
      </x:c>
    </x:row>
    <x:row r="132" ht="45" customHeight="1">
      <x:c r="A132" s="2" t="str">
        <x:v>共用/跨市场</x:v>
      </x:c>
      <x:c r="B132" s="14" t="str">
        <x:v>因子/模型平台</x:v>
      </x:c>
      <x:c r="C132" s="14" t="str">
        <x:v>运行生成</x:v>
      </x:c>
      <x:c r="D132" s="14" t="str">
        <x:v>factor_dependency</x:v>
      </x:c>
      <x:c r="E132" s="14" t="str">
        <x:v>表</x:v>
      </x:c>
      <x:c r="F132" s="14" t="str">
        <x:v>因子定义依赖关系</x:v>
      </x:c>
      <x:c r="G132" s="14" t="str">
        <x:v>价格、财务、宏观及L2等输入的因子计算、定义登记和评价任务</x:v>
      </x:c>
      <x:c r="H132" s="14" t="str">
        <x:v>应用计算、登记或记录</x:v>
      </x:c>
      <x:c r="I132" s="23" t="n">
        <x:v>1707</x:v>
      </x:c>
      <x:c r="J132" s="14" t="str">
        <x:v>存在</x:v>
      </x:c>
      <x:c r="K132" s="14" t="str">
        <x:v>跨资产共用结构；不根据表名将整表限定为某个市场。部分产品当前使用本地发布。</x:v>
      </x:c>
      <x:c r="L132" s="14" t="str">
        <x:v>项目规范化因子/模型合同及存储归档清单；实库 tables()</x:v>
      </x:c>
    </x:row>
    <x:row r="133" ht="45" customHeight="1">
      <x:c r="A133" s="2" t="str">
        <x:v>共用/跨市场</x:v>
      </x:c>
      <x:c r="B133" s="14" t="str">
        <x:v>因子/模型平台</x:v>
      </x:c>
      <x:c r="C133" s="14" t="str">
        <x:v>运行生成</x:v>
      </x:c>
      <x:c r="D133" s="14" t="str">
        <x:v>factor_ic_daily</x:v>
      </x:c>
      <x:c r="E133" s="14" t="str">
        <x:v>表</x:v>
      </x:c>
      <x:c r="F133" s="14" t="str">
        <x:v>历史按运行批次记录的日频IC证据</x:v>
      </x:c>
      <x:c r="G133" s="14" t="str">
        <x:v>价格、财务、宏观及L2等输入的因子计算、定义登记和评价任务</x:v>
      </x:c>
      <x:c r="H133" s="14" t="str">
        <x:v>应用计算、登记或记录</x:v>
      </x:c>
      <x:c r="I133" s="23" t="n">
        <x:v>396586</x:v>
      </x:c>
      <x:c r="J133" s="14" t="str">
        <x:v>存在</x:v>
      </x:c>
      <x:c r="K133" s="14" t="str">
        <x:v>项目模型明确标记为已退休的历史运行证据；当前仅归档用途。</x:v>
      </x:c>
      <x:c r="L133" s="14" t="str">
        <x:v>项目规范化因子/模型合同及存储归档清单；实库 tables()</x:v>
      </x:c>
    </x:row>
    <x:row r="134" ht="45" customHeight="1">
      <x:c r="A134" s="2" t="str">
        <x:v>共用/跨市场</x:v>
      </x:c>
      <x:c r="B134" s="14" t="str">
        <x:v>因子/模型平台</x:v>
      </x:c>
      <x:c r="C134" s="14" t="str">
        <x:v>运行生成</x:v>
      </x:c>
      <x:c r="D134" s="14" t="str">
        <x:v>factor_materialization_run</x:v>
      </x:c>
      <x:c r="E134" s="14" t="str">
        <x:v>表</x:v>
      </x:c>
      <x:c r="F134" s="14" t="str">
        <x:v>历史因子物化运行回执</x:v>
      </x:c>
      <x:c r="G134" s="14" t="str">
        <x:v>价格、财务、宏观及L2等输入的因子计算、定义登记和评价任务</x:v>
      </x:c>
      <x:c r="H134" s="14" t="str">
        <x:v>应用计算、登记或记录</x:v>
      </x:c>
      <x:c r="I134" s="23" t="n">
        <x:v>44724</x:v>
      </x:c>
      <x:c r="J134" s="14" t="str">
        <x:v>存在</x:v>
      </x:c>
      <x:c r="K134" s="14" t="str">
        <x:v>项目模型明确标记为已退休的历史运行证据；当前仅归档用途。</x:v>
      </x:c>
      <x:c r="L134" s="14" t="str">
        <x:v>项目规范化因子/模型合同及存储归档清单；实库 tables()</x:v>
      </x:c>
    </x:row>
    <x:row r="135" ht="45" customHeight="1">
      <x:c r="A135" s="2" t="str">
        <x:v>共用/跨市场</x:v>
      </x:c>
      <x:c r="B135" s="14" t="str">
        <x:v>因子/模型平台</x:v>
      </x:c>
      <x:c r="C135" s="14" t="str">
        <x:v>运行生成</x:v>
      </x:c>
      <x:c r="D135" s="14" t="str">
        <x:v>factor_monitor_daily</x:v>
      </x:c>
      <x:c r="E135" s="14" t="str">
        <x:v>表</x:v>
      </x:c>
      <x:c r="F135" s="14" t="str">
        <x:v>因子日频有效性监控</x:v>
      </x:c>
      <x:c r="G135" s="14" t="str">
        <x:v>价格、财务、宏观及L2等输入的因子计算、定义登记和评价任务</x:v>
      </x:c>
      <x:c r="H135" s="14" t="str">
        <x:v>应用计算、登记或记录</x:v>
      </x:c>
      <x:c r="I135" s="23" t="n">
        <x:v>129944</x:v>
      </x:c>
      <x:c r="J135" s="14" t="str">
        <x:v>存在</x:v>
      </x:c>
      <x:c r="K135" s="14" t="str">
        <x:v>跨资产共用结构；不根据表名将整表限定为某个市场。部分产品当前使用本地发布。</x:v>
      </x:c>
      <x:c r="L135" s="14" t="str">
        <x:v>项目规范化因子/模型合同及存储归档清单；实库 tables()</x:v>
      </x:c>
    </x:row>
    <x:row r="136" ht="45" customHeight="1">
      <x:c r="A136" s="2" t="str">
        <x:v>共用/跨市场</x:v>
      </x:c>
      <x:c r="B136" s="14" t="str">
        <x:v>因子/模型平台</x:v>
      </x:c>
      <x:c r="C136" s="14" t="str">
        <x:v>运行生成</x:v>
      </x:c>
      <x:c r="D136" s="14" t="str">
        <x:v>factor_monitor_summary</x:v>
      </x:c>
      <x:c r="E136" s="14" t="str">
        <x:v>表</x:v>
      </x:c>
      <x:c r="F136" s="14" t="str">
        <x:v>滚动因子健康汇总</x:v>
      </x:c>
      <x:c r="G136" s="14" t="str">
        <x:v>价格、财务、宏观及L2等输入的因子计算、定义登记和评价任务</x:v>
      </x:c>
      <x:c r="H136" s="14" t="str">
        <x:v>应用计算、登记或记录</x:v>
      </x:c>
      <x:c r="I136" s="23" t="n">
        <x:v>120020</x:v>
      </x:c>
      <x:c r="J136" s="14" t="str">
        <x:v>存在</x:v>
      </x:c>
      <x:c r="K136" s="14" t="str">
        <x:v>跨资产共用结构；不根据表名将整表限定为某个市场。部分产品当前使用本地发布。</x:v>
      </x:c>
      <x:c r="L136" s="14" t="str">
        <x:v>项目规范化因子/模型合同及存储归档清单；实库 tables()</x:v>
      </x:c>
    </x:row>
    <x:row r="137" ht="45" customHeight="1">
      <x:c r="A137" s="2" t="str">
        <x:v>共用/跨市场</x:v>
      </x:c>
      <x:c r="B137" s="14" t="str">
        <x:v>因子/模型平台</x:v>
      </x:c>
      <x:c r="C137" s="14" t="str">
        <x:v>运行生成</x:v>
      </x:c>
      <x:c r="D137" s="14" t="str">
        <x:v>factor_observation</x:v>
      </x:c>
      <x:c r="E137" s="14" t="str">
        <x:v>表</x:v>
      </x:c>
      <x:c r="F137" s="14" t="str">
        <x:v>计算后的规范化因子观测值</x:v>
      </x:c>
      <x:c r="G137" s="14" t="str">
        <x:v>价格、财务、宏观及L2等输入的因子计算、定义登记和评价任务</x:v>
      </x:c>
      <x:c r="H137" s="14" t="str">
        <x:v>应用计算、登记或记录</x:v>
      </x:c>
      <x:c r="I137" s="23" t="n">
        <x:v>689643504</x:v>
      </x:c>
      <x:c r="J137" s="14" t="str">
        <x:v>存在</x:v>
      </x:c>
      <x:c r="K137" s="14" t="str">
        <x:v>项目存储清单标记为只读历史归档；当前产品使用本地发布。</x:v>
      </x:c>
      <x:c r="L137" s="14" t="str">
        <x:v>项目规范化因子/模型合同及存储归档清单；实库 tables()</x:v>
      </x:c>
    </x:row>
    <x:row r="138" ht="45" customHeight="1">
      <x:c r="A138" s="2" t="str">
        <x:v>共用/跨市场</x:v>
      </x:c>
      <x:c r="B138" s="14" t="str">
        <x:v>因子/模型平台</x:v>
      </x:c>
      <x:c r="C138" s="14" t="str">
        <x:v>运行生成</x:v>
      </x:c>
      <x:c r="D138" s="14" t="str">
        <x:v>factor_platform_run</x:v>
      </x:c>
      <x:c r="E138" s="14" t="str">
        <x:v>表</x:v>
      </x:c>
      <x:c r="F138" s="14" t="str">
        <x:v>因子平台执行及覆盖窗口</x:v>
      </x:c>
      <x:c r="G138" s="14" t="str">
        <x:v>价格、财务、宏观及L2等输入的因子计算、定义登记和评价任务</x:v>
      </x:c>
      <x:c r="H138" s="14" t="str">
        <x:v>应用计算、登记或记录</x:v>
      </x:c>
      <x:c r="I138" s="23" t="n">
        <x:v>89</x:v>
      </x:c>
      <x:c r="J138" s="14" t="str">
        <x:v>存在</x:v>
      </x:c>
      <x:c r="K138" s="14" t="str">
        <x:v>跨资产共用结构；不根据表名将整表限定为某个市场。部分产品当前使用本地发布。</x:v>
      </x:c>
      <x:c r="L138" s="14" t="str">
        <x:v>项目规范化因子/模型合同及存储归档清单；实库 tables()</x:v>
      </x:c>
    </x:row>
    <x:row r="139" ht="45" customHeight="1">
      <x:c r="A139" s="2" t="str">
        <x:v>共用/跨市场</x:v>
      </x:c>
      <x:c r="B139" s="14" t="str">
        <x:v>因子/模型平台</x:v>
      </x:c>
      <x:c r="C139" s="14" t="str">
        <x:v>运行生成</x:v>
      </x:c>
      <x:c r="D139" s="14" t="str">
        <x:v>factor_regime_daily</x:v>
      </x:c>
      <x:c r="E139" s="14" t="str">
        <x:v>表</x:v>
      </x:c>
      <x:c r="F139" s="14" t="str">
        <x:v>因子有效性状态及动态权重</x:v>
      </x:c>
      <x:c r="G139" s="14" t="str">
        <x:v>价格、财务、宏观及L2等输入的因子计算、定义登记和评价任务</x:v>
      </x:c>
      <x:c r="H139" s="14" t="str">
        <x:v>应用计算、登记或记录</x:v>
      </x:c>
      <x:c r="I139" s="23" t="n">
        <x:v>17734</x:v>
      </x:c>
      <x:c r="J139" s="14" t="str">
        <x:v>存在</x:v>
      </x:c>
      <x:c r="K139" s="14" t="str">
        <x:v>跨资产共用结构；不根据表名将整表限定为某个市场。部分产品当前使用本地发布。</x:v>
      </x:c>
      <x:c r="L139" s="14" t="str">
        <x:v>项目规范化因子/模型合同及存储归档清单；实库 tables()</x:v>
      </x:c>
    </x:row>
    <x:row r="140" ht="45" customHeight="1">
      <x:c r="A140" s="2" t="str">
        <x:v>共用/跨市场</x:v>
      </x:c>
      <x:c r="B140" s="14" t="str">
        <x:v>因子/模型平台</x:v>
      </x:c>
      <x:c r="C140" s="14" t="str">
        <x:v>运行生成</x:v>
      </x:c>
      <x:c r="D140" s="14" t="str">
        <x:v>factor_registry</x:v>
      </x:c>
      <x:c r="E140" s="14" t="str">
        <x:v>表</x:v>
      </x:c>
      <x:c r="F140" s="14" t="str">
        <x:v>运行批次的因子选择及证据登记</x:v>
      </x:c>
      <x:c r="G140" s="14" t="str">
        <x:v>价格、财务、宏观及L2等输入的因子计算、定义登记和评价任务</x:v>
      </x:c>
      <x:c r="H140" s="14" t="str">
        <x:v>应用计算、登记或记录</x:v>
      </x:c>
      <x:c r="I140" s="23" t="n">
        <x:v>2251</x:v>
      </x:c>
      <x:c r="J140" s="14" t="str">
        <x:v>存在</x:v>
      </x:c>
      <x:c r="K140" s="14" t="str">
        <x:v>跨资产共用结构；不根据表名将整表限定为某个市场。部分产品当前使用本地发布。</x:v>
      </x:c>
      <x:c r="L140" s="14" t="str">
        <x:v>项目规范化因子/模型合同及存储归档清单；实库 tables()</x:v>
      </x:c>
    </x:row>
    <x:row r="141" ht="45" customHeight="1">
      <x:c r="A141" s="2" t="str">
        <x:v>共用/跨市场</x:v>
      </x:c>
      <x:c r="B141" s="14" t="str">
        <x:v>因子/模型平台</x:v>
      </x:c>
      <x:c r="C141" s="14" t="str">
        <x:v>运行生成</x:v>
      </x:c>
      <x:c r="D141" s="14" t="str">
        <x:v>factor_usage</x:v>
      </x:c>
      <x:c r="E141" s="14" t="str">
        <x:v>表</x:v>
      </x:c>
      <x:c r="F141" s="14" t="str">
        <x:v>策略/研究/模型使用因子的记录</x:v>
      </x:c>
      <x:c r="G141" s="14" t="str">
        <x:v>价格、财务、宏观及L2等输入的因子计算、定义登记和评价任务</x:v>
      </x:c>
      <x:c r="H141" s="14" t="str">
        <x:v>应用计算、登记或记录</x:v>
      </x:c>
      <x:c r="I141" s="23" t="n">
        <x:v>228</x:v>
      </x:c>
      <x:c r="J141" s="14" t="str">
        <x:v>存在</x:v>
      </x:c>
      <x:c r="K141" s="14" t="str">
        <x:v>跨资产共用结构；不根据表名将整表限定为某个市场。部分产品当前使用本地发布。</x:v>
      </x:c>
      <x:c r="L141" s="14" t="str">
        <x:v>项目规范化因子/模型合同及存储归档清单；实库 tables()</x:v>
      </x:c>
    </x:row>
    <x:row r="142" ht="45" customHeight="1">
      <x:c r="A142" s="2" t="str">
        <x:v>共用/跨市场</x:v>
      </x:c>
      <x:c r="B142" s="14" t="str">
        <x:v>因子/模型平台</x:v>
      </x:c>
      <x:c r="C142" s="14" t="str">
        <x:v>运行生成</x:v>
      </x:c>
      <x:c r="D142" s="14" t="str">
        <x:v>factor_validation_daily</x:v>
      </x:c>
      <x:c r="E142" s="14" t="str">
        <x:v>表</x:v>
      </x:c>
      <x:c r="F142" s="14" t="str">
        <x:v>因子验证日频指标</x:v>
      </x:c>
      <x:c r="G142" s="14" t="str">
        <x:v>价格、财务、宏观及L2等输入的因子计算、定义登记和评价任务</x:v>
      </x:c>
      <x:c r="H142" s="14" t="str">
        <x:v>应用计算、登记或记录</x:v>
      </x:c>
      <x:c r="I142" s="23" t="n">
        <x:v>525</x:v>
      </x:c>
      <x:c r="J142" s="14" t="str">
        <x:v>存在</x:v>
      </x:c>
      <x:c r="K142" s="14" t="str">
        <x:v>跨资产共用结构；不根据表名将整表限定为某个市场。部分产品当前使用本地发布。</x:v>
      </x:c>
      <x:c r="L142" s="14" t="str">
        <x:v>项目规范化因子/模型合同及存储归档清单；实库 tables()</x:v>
      </x:c>
    </x:row>
    <x:row r="143" ht="45" customHeight="1">
      <x:c r="A143" s="2" t="str">
        <x:v>共用/跨市场</x:v>
      </x:c>
      <x:c r="B143" s="14" t="str">
        <x:v>因子/模型平台</x:v>
      </x:c>
      <x:c r="C143" s="14" t="str">
        <x:v>运行生成</x:v>
      </x:c>
      <x:c r="D143" s="14" t="str">
        <x:v>prediction_definition_v1</x:v>
      </x:c>
      <x:c r="E143" s="14" t="str">
        <x:v>表</x:v>
      </x:c>
      <x:c r="F143" s="14" t="str">
        <x:v>模型输出/预测的版本化定义</x:v>
      </x:c>
      <x:c r="G143" s="14" t="str">
        <x:v>价格、财务、宏观及L2等输入的因子计算、定义登记和评价任务</x:v>
      </x:c>
      <x:c r="H143" s="14" t="str">
        <x:v>应用计算、登记或记录</x:v>
      </x:c>
      <x:c r="I143" s="23" t="n">
        <x:v>8</x:v>
      </x:c>
      <x:c r="J143" s="14" t="str">
        <x:v>存在</x:v>
      </x:c>
      <x:c r="K143" s="14" t="str">
        <x:v>跨资产共用结构；不根据表名将整表限定为某个市场。部分产品当前使用本地发布。</x:v>
      </x:c>
      <x:c r="L143" s="14" t="str">
        <x:v>项目规范化因子/模型合同及存储归档清单；实库 tables()</x:v>
      </x:c>
    </x:row>
  </x:sheetData>
  <x:conditionalFormatting sqref="C7:C143">
    <x:cfRule type="containsText" dxfId="0" priority="1" operator="containsText" text="采集"/>
    <x:cfRule type="containsText" dxfId="1" priority="2" operator="containsText" text="衍生视图"/>
    <x:cfRule type="containsText" dxfId="2" priority="3" operator="containsText" text="运行生成"/>
  </x:conditionalFormatting>
  <x:pageMargins left="0.7" right="0.7" top="0.75" bottom="0.75" header="0.3" footer="0.3"/>
  <x:tableParts count="1">
    <x:tablePart xmlns:r="http://schemas.openxmlformats.org/officeDocument/2006/relationships" r:id="R6e9ae9f749fe4b31"/>
  </x:tableParts>
</x:worksheet>
</file>